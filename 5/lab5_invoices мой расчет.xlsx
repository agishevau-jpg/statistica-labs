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cuments\Ульяна\Работа\Универ\Статистика\1 семестр\Практика очка\Лабы 26-27\5\"/>
    </mc:Choice>
  </mc:AlternateContent>
  <xr:revisionPtr revIDLastSave="0" documentId="8_{7985F375-E9E8-4B40-937E-8E8F8BC47F58}" xr6:coauthVersionLast="45" xr6:coauthVersionMax="45" xr10:uidLastSave="{00000000-0000-0000-0000-000000000000}"/>
  <bookViews>
    <workbookView xWindow="28680" yWindow="-120" windowWidth="29040" windowHeight="15720" xr2:uid="{00000000-000D-0000-FFFF-FFFF00000000}"/>
  </bookViews>
  <sheets>
    <sheet name="Вариант 1 (2)" sheetId="12" r:id="rId1"/>
    <sheet name="Лист1" sheetId="11" r:id="rId2"/>
    <sheet name="Вариант 1" sheetId="1" r:id="rId3"/>
    <sheet name="Вариант 2" sheetId="2" r:id="rId4"/>
    <sheet name="Вариант 3" sheetId="3" r:id="rId5"/>
    <sheet name="Вариант 4" sheetId="4" r:id="rId6"/>
    <sheet name="Вариант 5" sheetId="5" r:id="rId7"/>
    <sheet name="Вариант 6" sheetId="6" r:id="rId8"/>
    <sheet name="Вариант 7" sheetId="7" r:id="rId9"/>
    <sheet name="Вариант 8" sheetId="8" r:id="rId10"/>
    <sheet name="Вариант 9" sheetId="9" r:id="rId11"/>
    <sheet name="Вариант 10" sheetId="10" r:id="rId12"/>
  </sheets>
  <definedNames>
    <definedName name="_xlnm._FilterDatabase" localSheetId="2" hidden="1">'Вариант 1'!$D$1:$D$501</definedName>
    <definedName name="_xlnm._FilterDatabase" localSheetId="0" hidden="1">'Вариант 1 (2)'!$D$1:$D$501</definedName>
  </definedNames>
  <calcPr calcId="181029"/>
  <pivotCaches>
    <pivotCache cacheId="0" r:id="rId1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501" i="12" l="1"/>
  <c r="O500" i="12"/>
  <c r="O499" i="12"/>
  <c r="O498" i="12"/>
  <c r="O497" i="12"/>
  <c r="O496" i="12"/>
  <c r="O495" i="12"/>
  <c r="O494" i="12"/>
  <c r="O493" i="12"/>
  <c r="O492" i="12"/>
  <c r="O491" i="12"/>
  <c r="O490" i="12"/>
  <c r="O489" i="12"/>
  <c r="O488" i="12"/>
  <c r="O487" i="12"/>
  <c r="O486" i="12"/>
  <c r="O485" i="12"/>
  <c r="O484" i="12"/>
  <c r="O483" i="12"/>
  <c r="O482" i="12"/>
  <c r="O481" i="12"/>
  <c r="O480" i="12"/>
  <c r="O479" i="12"/>
  <c r="O478" i="12"/>
  <c r="O477" i="12"/>
  <c r="O476" i="12"/>
  <c r="O475" i="12"/>
  <c r="O474" i="12"/>
  <c r="O473" i="12"/>
  <c r="O472" i="12"/>
  <c r="O471" i="12"/>
  <c r="O470" i="12"/>
  <c r="O469" i="12"/>
  <c r="O468" i="12"/>
  <c r="O467" i="12"/>
  <c r="O466" i="12"/>
  <c r="O465" i="12"/>
  <c r="O464" i="12"/>
  <c r="O463" i="12"/>
  <c r="O462" i="12"/>
  <c r="O461" i="12"/>
  <c r="O460" i="12"/>
  <c r="O459" i="12"/>
  <c r="O458" i="12"/>
  <c r="O457" i="12"/>
  <c r="O456" i="12"/>
  <c r="O455" i="12"/>
  <c r="O454" i="12"/>
  <c r="O453" i="12"/>
  <c r="O452" i="12"/>
  <c r="O451" i="12"/>
  <c r="O450" i="12"/>
  <c r="O449" i="12"/>
  <c r="O448" i="12"/>
  <c r="O447" i="12"/>
  <c r="O446" i="12"/>
  <c r="O445" i="12"/>
  <c r="O444" i="12"/>
  <c r="O443" i="12"/>
  <c r="O442" i="12"/>
  <c r="O441" i="12"/>
  <c r="O440" i="12"/>
  <c r="O439" i="12"/>
  <c r="O438" i="12"/>
  <c r="O437" i="12"/>
  <c r="O436" i="12"/>
  <c r="O435" i="12"/>
  <c r="O434" i="12"/>
  <c r="O433" i="12"/>
  <c r="O432" i="12"/>
  <c r="O431" i="12"/>
  <c r="O430" i="12"/>
  <c r="O429" i="12"/>
  <c r="O428" i="12"/>
  <c r="O427" i="12"/>
  <c r="O426" i="12"/>
  <c r="O425" i="12"/>
  <c r="O424" i="12"/>
  <c r="O423" i="12"/>
  <c r="O422" i="12"/>
  <c r="O421" i="12"/>
  <c r="O420" i="12"/>
  <c r="O419" i="12"/>
  <c r="O418" i="12"/>
  <c r="O417" i="12"/>
  <c r="O416" i="12"/>
  <c r="O415" i="12"/>
  <c r="O414" i="12"/>
  <c r="O413" i="12"/>
  <c r="O412" i="12"/>
  <c r="O411" i="12"/>
  <c r="O410" i="12"/>
  <c r="O409" i="12"/>
  <c r="O408" i="12"/>
  <c r="O407" i="12"/>
  <c r="O406" i="12"/>
  <c r="O405" i="12"/>
  <c r="O404" i="12"/>
  <c r="O403" i="12"/>
  <c r="O402" i="12"/>
  <c r="O401" i="12"/>
  <c r="O400" i="12"/>
  <c r="O399" i="12"/>
  <c r="O398" i="12"/>
  <c r="O397" i="12"/>
  <c r="O396" i="12"/>
  <c r="O395" i="12"/>
  <c r="O394" i="12"/>
  <c r="O393" i="12"/>
  <c r="O392" i="12"/>
  <c r="O391" i="12"/>
  <c r="O390" i="12"/>
  <c r="O389" i="12"/>
  <c r="O388" i="12"/>
  <c r="O387" i="12"/>
  <c r="O386" i="12"/>
  <c r="O385" i="12"/>
  <c r="O384" i="12"/>
  <c r="O383" i="12"/>
  <c r="O382" i="12"/>
  <c r="O381" i="12"/>
  <c r="O380" i="12"/>
  <c r="O379" i="12"/>
  <c r="O378" i="12"/>
  <c r="O377" i="12"/>
  <c r="O376" i="12"/>
  <c r="O375" i="12"/>
  <c r="O374" i="12"/>
  <c r="O373" i="12"/>
  <c r="O372" i="12"/>
  <c r="O371" i="12"/>
  <c r="O370" i="12"/>
  <c r="O369" i="12"/>
  <c r="O368" i="12"/>
  <c r="O367" i="12"/>
  <c r="O366" i="12"/>
  <c r="O365" i="12"/>
  <c r="O364" i="12"/>
  <c r="O363" i="12"/>
  <c r="O362" i="12"/>
  <c r="O361" i="12"/>
  <c r="O360" i="12"/>
  <c r="O359" i="12"/>
  <c r="O358" i="12"/>
  <c r="O357" i="12"/>
  <c r="O356" i="12"/>
  <c r="O355" i="12"/>
  <c r="O354" i="12"/>
  <c r="O353" i="12"/>
  <c r="O352" i="12"/>
  <c r="O351" i="12"/>
  <c r="O350" i="12"/>
  <c r="O349" i="12"/>
  <c r="O348" i="12"/>
  <c r="O347" i="12"/>
  <c r="O346" i="12"/>
  <c r="O345" i="12"/>
  <c r="O344" i="12"/>
  <c r="O343" i="12"/>
  <c r="O342" i="12"/>
  <c r="O341" i="12"/>
  <c r="O340" i="12"/>
  <c r="O339" i="12"/>
  <c r="O338" i="12"/>
  <c r="O337" i="12"/>
  <c r="O336" i="12"/>
  <c r="O335" i="12"/>
  <c r="O334" i="12"/>
  <c r="O333" i="12"/>
  <c r="O332" i="12"/>
  <c r="O331" i="12"/>
  <c r="O330" i="12"/>
  <c r="O329" i="12"/>
  <c r="O328" i="12"/>
  <c r="O327" i="12"/>
  <c r="O326" i="12"/>
  <c r="O325" i="12"/>
  <c r="O324" i="12"/>
  <c r="O323" i="12"/>
  <c r="O322" i="12"/>
  <c r="O321" i="12"/>
  <c r="O320" i="12"/>
  <c r="O319" i="12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X15" i="12"/>
  <c r="T15" i="12"/>
  <c r="V15" i="12" s="1"/>
  <c r="T13" i="12"/>
  <c r="U13" i="12" s="1"/>
  <c r="X13" i="12" s="1"/>
  <c r="N13" i="12"/>
  <c r="P13" i="12" s="1"/>
  <c r="M13" i="12"/>
  <c r="T12" i="12"/>
  <c r="U12" i="12" s="1"/>
  <c r="X12" i="12" s="1"/>
  <c r="N12" i="12"/>
  <c r="P12" i="12" s="1"/>
  <c r="M12" i="12"/>
  <c r="T11" i="12"/>
  <c r="U11" i="12" s="1"/>
  <c r="X11" i="12" s="1"/>
  <c r="N11" i="12"/>
  <c r="P11" i="12" s="1"/>
  <c r="M11" i="12"/>
  <c r="T10" i="12"/>
  <c r="U10" i="12" s="1"/>
  <c r="X10" i="12" s="1"/>
  <c r="N10" i="12"/>
  <c r="P10" i="12" s="1"/>
  <c r="M10" i="12"/>
  <c r="T9" i="12"/>
  <c r="U9" i="12" s="1"/>
  <c r="X9" i="12" s="1"/>
  <c r="P9" i="12"/>
  <c r="O9" i="12"/>
  <c r="R9" i="12" s="1"/>
  <c r="N9" i="12"/>
  <c r="M9" i="12"/>
  <c r="T8" i="12"/>
  <c r="U8" i="12" s="1"/>
  <c r="X8" i="12" s="1"/>
  <c r="O8" i="12"/>
  <c r="R8" i="12" s="1"/>
  <c r="N8" i="12"/>
  <c r="P8" i="12" s="1"/>
  <c r="M8" i="12"/>
  <c r="T7" i="12"/>
  <c r="U7" i="12" s="1"/>
  <c r="X7" i="12" s="1"/>
  <c r="O7" i="12"/>
  <c r="R7" i="12" s="1"/>
  <c r="N7" i="12"/>
  <c r="P7" i="12" s="1"/>
  <c r="M7" i="12"/>
  <c r="H7" i="12"/>
  <c r="H12" i="12" s="1"/>
  <c r="T6" i="12"/>
  <c r="U6" i="12" s="1"/>
  <c r="X6" i="12" s="1"/>
  <c r="P6" i="12"/>
  <c r="N6" i="12"/>
  <c r="O6" i="12" s="1"/>
  <c r="R6" i="12" s="1"/>
  <c r="M6" i="12"/>
  <c r="H6" i="12"/>
  <c r="T5" i="12"/>
  <c r="U5" i="12" s="1"/>
  <c r="X5" i="12" s="1"/>
  <c r="N5" i="12"/>
  <c r="P5" i="12" s="1"/>
  <c r="M5" i="12"/>
  <c r="H5" i="12"/>
  <c r="T4" i="12"/>
  <c r="U4" i="12" s="1"/>
  <c r="X4" i="12" s="1"/>
  <c r="N4" i="12"/>
  <c r="M4" i="12"/>
  <c r="H4" i="12"/>
  <c r="I2" i="12"/>
  <c r="K3" i="12" s="1"/>
  <c r="H2" i="12"/>
  <c r="H10" i="12" s="1"/>
  <c r="H17" i="12" l="1"/>
  <c r="K2" i="12"/>
  <c r="P4" i="12"/>
  <c r="O4" i="12"/>
  <c r="R4" i="12" s="1"/>
  <c r="O11" i="12"/>
  <c r="R11" i="12" s="1"/>
  <c r="H16" i="12"/>
  <c r="O10" i="12"/>
  <c r="R10" i="12" s="1"/>
  <c r="O13" i="12"/>
  <c r="R13" i="12" s="1"/>
  <c r="O5" i="12"/>
  <c r="R5" i="12" s="1"/>
  <c r="O12" i="12"/>
  <c r="R12" i="12" s="1"/>
  <c r="X15" i="1"/>
  <c r="T15" i="1"/>
  <c r="V15" i="1" s="1"/>
  <c r="I25" i="11" l="1"/>
  <c r="I29" i="11"/>
  <c r="I27" i="11"/>
  <c r="I23" i="11"/>
  <c r="B24" i="11"/>
  <c r="I15" i="11"/>
  <c r="I14" i="11"/>
  <c r="J7" i="11"/>
  <c r="C12" i="11"/>
  <c r="J6" i="11"/>
  <c r="J5" i="11"/>
  <c r="I7" i="11"/>
  <c r="C10" i="11"/>
  <c r="C11" i="11"/>
  <c r="I6" i="11"/>
  <c r="B11" i="11"/>
  <c r="B10" i="11"/>
  <c r="B12" i="11"/>
  <c r="I5" i="11"/>
  <c r="I8" i="11" l="1"/>
  <c r="J8" i="11"/>
  <c r="T5" i="1"/>
  <c r="T6" i="1"/>
  <c r="T7" i="1"/>
  <c r="T8" i="1"/>
  <c r="U8" i="1" s="1"/>
  <c r="X8" i="1" s="1"/>
  <c r="T9" i="1"/>
  <c r="T10" i="1"/>
  <c r="T11" i="1"/>
  <c r="U11" i="1" s="1"/>
  <c r="X11" i="1" s="1"/>
  <c r="T12" i="1"/>
  <c r="T13" i="1"/>
  <c r="T4" i="1"/>
  <c r="N4" i="1"/>
  <c r="O4" i="1" s="1"/>
  <c r="R4" i="1" s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N13" i="1"/>
  <c r="O13" i="1" s="1"/>
  <c r="R13" i="1" s="1"/>
  <c r="N12" i="1"/>
  <c r="O12" i="1" s="1"/>
  <c r="R12" i="1" s="1"/>
  <c r="N11" i="1"/>
  <c r="O11" i="1" s="1"/>
  <c r="R11" i="1" s="1"/>
  <c r="N10" i="1"/>
  <c r="O10" i="1" s="1"/>
  <c r="R10" i="1" s="1"/>
  <c r="N9" i="1"/>
  <c r="O9" i="1" s="1"/>
  <c r="R9" i="1" s="1"/>
  <c r="N8" i="1"/>
  <c r="O8" i="1" s="1"/>
  <c r="R8" i="1" s="1"/>
  <c r="N7" i="1"/>
  <c r="O7" i="1" s="1"/>
  <c r="R7" i="1" s="1"/>
  <c r="N6" i="1"/>
  <c r="O6" i="1" s="1"/>
  <c r="R6" i="1" s="1"/>
  <c r="N5" i="1"/>
  <c r="O5" i="1" s="1"/>
  <c r="R5" i="1" s="1"/>
  <c r="H7" i="1"/>
  <c r="M13" i="1"/>
  <c r="M12" i="1"/>
  <c r="M11" i="1"/>
  <c r="M10" i="1"/>
  <c r="M9" i="1"/>
  <c r="M8" i="1"/>
  <c r="M7" i="1"/>
  <c r="M6" i="1"/>
  <c r="M5" i="1"/>
  <c r="M4" i="1"/>
  <c r="I2" i="1"/>
  <c r="K3" i="1" s="1"/>
  <c r="H6" i="1"/>
  <c r="H5" i="1"/>
  <c r="H4" i="1"/>
  <c r="H2" i="1"/>
  <c r="H10" i="1" s="1"/>
  <c r="B16" i="11"/>
  <c r="B14" i="11"/>
  <c r="B15" i="11"/>
  <c r="C15" i="11"/>
  <c r="C14" i="11"/>
  <c r="C16" i="11"/>
  <c r="H12" i="1" l="1"/>
  <c r="H16" i="1"/>
  <c r="H17" i="1"/>
  <c r="C17" i="11"/>
  <c r="B17" i="11"/>
  <c r="D17" i="11" s="1"/>
  <c r="P4" i="1"/>
  <c r="K2" i="1"/>
  <c r="K8" i="11"/>
  <c r="U5" i="1"/>
  <c r="X5" i="1" s="1"/>
  <c r="U6" i="1"/>
  <c r="X6" i="1" s="1"/>
  <c r="U9" i="1"/>
  <c r="X9" i="1" s="1"/>
  <c r="U12" i="1"/>
  <c r="X12" i="1" s="1"/>
  <c r="U4" i="1"/>
  <c r="X4" i="1" s="1"/>
  <c r="U7" i="1"/>
  <c r="X7" i="1" s="1"/>
  <c r="U10" i="1"/>
  <c r="X10" i="1" s="1"/>
  <c r="U13" i="1"/>
  <c r="X13" i="1" s="1"/>
  <c r="P13" i="1"/>
  <c r="P12" i="1"/>
  <c r="P11" i="1"/>
  <c r="P10" i="1"/>
  <c r="P9" i="1"/>
  <c r="P8" i="1"/>
  <c r="P7" i="1"/>
  <c r="P6" i="1"/>
  <c r="P5" i="1"/>
  <c r="K10" i="11"/>
  <c r="D19" i="11" l="1"/>
  <c r="D18" i="11"/>
</calcChain>
</file>

<file path=xl/sharedStrings.xml><?xml version="1.0" encoding="utf-8"?>
<sst xmlns="http://schemas.openxmlformats.org/spreadsheetml/2006/main" count="22117" uniqueCount="530">
  <si>
    <t>Номер счёта</t>
  </si>
  <si>
    <t>Дата</t>
  </si>
  <si>
    <t>Контрагент</t>
  </si>
  <si>
    <t>Сумма счёта</t>
  </si>
  <si>
    <t>Статус оплаты</t>
  </si>
  <si>
    <t>Наличие нарушений</t>
  </si>
  <si>
    <t>17.01.2024</t>
  </si>
  <si>
    <t>ООО «Ромашка»</t>
  </si>
  <si>
    <t>Оплачен</t>
  </si>
  <si>
    <t>Нет</t>
  </si>
  <si>
    <t>13.01.2024</t>
  </si>
  <si>
    <t>АО «Вектор»</t>
  </si>
  <si>
    <t>14.08.2024</t>
  </si>
  <si>
    <t>ИП Иванов И.И.</t>
  </si>
  <si>
    <t>07.12.2024</t>
  </si>
  <si>
    <t>ООО «Север»</t>
  </si>
  <si>
    <t>04.09.2024</t>
  </si>
  <si>
    <t>ООО «Заря»</t>
  </si>
  <si>
    <t>10.09.2024</t>
  </si>
  <si>
    <t>АО «Прогресс»</t>
  </si>
  <si>
    <t>Да</t>
  </si>
  <si>
    <t>07.02.2024</t>
  </si>
  <si>
    <t>ООО «Кристалл»</t>
  </si>
  <si>
    <t>Частично</t>
  </si>
  <si>
    <t>19.12.2024</t>
  </si>
  <si>
    <t>ИП Петров П.П.</t>
  </si>
  <si>
    <t>11.12.2024</t>
  </si>
  <si>
    <t>ООО «Альфа»</t>
  </si>
  <si>
    <t>05.03.2024</t>
  </si>
  <si>
    <t>ООО «Бета»</t>
  </si>
  <si>
    <t>15.07.2024</t>
  </si>
  <si>
    <t>АО «Гамма»</t>
  </si>
  <si>
    <t>13.05.2024</t>
  </si>
  <si>
    <t>ООО «Дельта»</t>
  </si>
  <si>
    <t>08.12.2024</t>
  </si>
  <si>
    <t>15.10.2024</t>
  </si>
  <si>
    <t>02.04.2024</t>
  </si>
  <si>
    <t>26.03.2024</t>
  </si>
  <si>
    <t>Не оплачен</t>
  </si>
  <si>
    <t>09.01.2024</t>
  </si>
  <si>
    <t>11.07.2024</t>
  </si>
  <si>
    <t>10.03.2024</t>
  </si>
  <si>
    <t>17.03.2024</t>
  </si>
  <si>
    <t>15.04.2024</t>
  </si>
  <si>
    <t>01.07.2024</t>
  </si>
  <si>
    <t>08.04.2024</t>
  </si>
  <si>
    <t>31.07.2024</t>
  </si>
  <si>
    <t>11.03.2024</t>
  </si>
  <si>
    <t>03.01.2024</t>
  </si>
  <si>
    <t>27.02.2024</t>
  </si>
  <si>
    <t>21.07.2024</t>
  </si>
  <si>
    <t>13.04.2024</t>
  </si>
  <si>
    <t>20.11.2024</t>
  </si>
  <si>
    <t>18.02.2024</t>
  </si>
  <si>
    <t>27.10.2024</t>
  </si>
  <si>
    <t>09.12.2024</t>
  </si>
  <si>
    <t>12.08.2024</t>
  </si>
  <si>
    <t>26.01.2024</t>
  </si>
  <si>
    <t>17.09.2024</t>
  </si>
  <si>
    <t>23.04.2024</t>
  </si>
  <si>
    <t>10.11.2024</t>
  </si>
  <si>
    <t>29.05.2024</t>
  </si>
  <si>
    <t>05.06.2024</t>
  </si>
  <si>
    <t>06.02.2024</t>
  </si>
  <si>
    <t>05.05.2024</t>
  </si>
  <si>
    <t>10.08.2024</t>
  </si>
  <si>
    <t>22.08.2024</t>
  </si>
  <si>
    <t>20.05.2024</t>
  </si>
  <si>
    <t>11.02.2024</t>
  </si>
  <si>
    <t>08.08.2024</t>
  </si>
  <si>
    <t>17.04.2024</t>
  </si>
  <si>
    <t>28.04.2024</t>
  </si>
  <si>
    <t>29.07.2024</t>
  </si>
  <si>
    <t>19.04.2024</t>
  </si>
  <si>
    <t>06.07.2024</t>
  </si>
  <si>
    <t>19.03.2024</t>
  </si>
  <si>
    <t>30.05.2024</t>
  </si>
  <si>
    <t>08.07.2024</t>
  </si>
  <si>
    <t>11.04.2024</t>
  </si>
  <si>
    <t>20.04.2024</t>
  </si>
  <si>
    <t>24.10.2024</t>
  </si>
  <si>
    <t>23.07.2024</t>
  </si>
  <si>
    <t>19.05.2024</t>
  </si>
  <si>
    <t>18.06.2024</t>
  </si>
  <si>
    <t>27.09.2024</t>
  </si>
  <si>
    <t>03.08.2024</t>
  </si>
  <si>
    <t>15.06.2024</t>
  </si>
  <si>
    <t>12.02.2024</t>
  </si>
  <si>
    <t>24.02.2024</t>
  </si>
  <si>
    <t>15.12.2024</t>
  </si>
  <si>
    <t>08.11.2024</t>
  </si>
  <si>
    <t>09.11.2024</t>
  </si>
  <si>
    <t>15.09.2024</t>
  </si>
  <si>
    <t>30.07.2024</t>
  </si>
  <si>
    <t>11.10.2024</t>
  </si>
  <si>
    <t>29.02.2024</t>
  </si>
  <si>
    <t>30.09.2024</t>
  </si>
  <si>
    <t>22.06.2024</t>
  </si>
  <si>
    <t>08.05.2024</t>
  </si>
  <si>
    <t>05.10.2024</t>
  </si>
  <si>
    <t>04.06.2024</t>
  </si>
  <si>
    <t>16.10.2024</t>
  </si>
  <si>
    <t>22.05.2024</t>
  </si>
  <si>
    <t>18.08.2024</t>
  </si>
  <si>
    <t>30.12.2024</t>
  </si>
  <si>
    <t>24.01.2024</t>
  </si>
  <si>
    <t>18.05.2024</t>
  </si>
  <si>
    <t>03.12.2024</t>
  </si>
  <si>
    <t>19.10.2024</t>
  </si>
  <si>
    <t>31.08.2024</t>
  </si>
  <si>
    <t>06.03.2024</t>
  </si>
  <si>
    <t>24.06.2024</t>
  </si>
  <si>
    <t>26.06.2024</t>
  </si>
  <si>
    <t>17.05.2024</t>
  </si>
  <si>
    <t>08.03.2024</t>
  </si>
  <si>
    <t>20.01.2024</t>
  </si>
  <si>
    <t>01.06.2024</t>
  </si>
  <si>
    <t>15.01.2024</t>
  </si>
  <si>
    <t>11.01.2024</t>
  </si>
  <si>
    <t>07.11.2024</t>
  </si>
  <si>
    <t>22.10.2024</t>
  </si>
  <si>
    <t>27.01.2024</t>
  </si>
  <si>
    <t>10.01.2024</t>
  </si>
  <si>
    <t>21.06.2024</t>
  </si>
  <si>
    <t>14.07.2024</t>
  </si>
  <si>
    <t>24.03.2024</t>
  </si>
  <si>
    <t>14.09.2024</t>
  </si>
  <si>
    <t>07.09.2024</t>
  </si>
  <si>
    <t>01.04.2024</t>
  </si>
  <si>
    <t>09.10.2024</t>
  </si>
  <si>
    <t>19.08.2024</t>
  </si>
  <si>
    <t>19.09.2024</t>
  </si>
  <si>
    <t>14.11.2024</t>
  </si>
  <si>
    <t>16.05.2024</t>
  </si>
  <si>
    <t>14.04.2024</t>
  </si>
  <si>
    <t>02.05.2024</t>
  </si>
  <si>
    <t>10.12.2024</t>
  </si>
  <si>
    <t>04.05.2024</t>
  </si>
  <si>
    <t>02.01.2024</t>
  </si>
  <si>
    <t>23.02.2024</t>
  </si>
  <si>
    <t>29.10.2024</t>
  </si>
  <si>
    <t>18.09.2024</t>
  </si>
  <si>
    <t>03.06.2024</t>
  </si>
  <si>
    <t>18.07.2024</t>
  </si>
  <si>
    <t>27.06.2024</t>
  </si>
  <si>
    <t>07.10.2024</t>
  </si>
  <si>
    <t>09.09.2024</t>
  </si>
  <si>
    <t>13.07.2024</t>
  </si>
  <si>
    <t>09.03.2024</t>
  </si>
  <si>
    <t>05.09.2024</t>
  </si>
  <si>
    <t>16.08.2024</t>
  </si>
  <si>
    <t>27.08.2024</t>
  </si>
  <si>
    <t>05.02.2024</t>
  </si>
  <si>
    <t>20.03.2024</t>
  </si>
  <si>
    <t>30.11.2024</t>
  </si>
  <si>
    <t>26.05.2024</t>
  </si>
  <si>
    <t>21.05.2024</t>
  </si>
  <si>
    <t>11.11.2024</t>
  </si>
  <si>
    <t>30.10.2024</t>
  </si>
  <si>
    <t>20.12.2024</t>
  </si>
  <si>
    <t>16.07.2024</t>
  </si>
  <si>
    <t>13.03.2024</t>
  </si>
  <si>
    <t>08.02.2024</t>
  </si>
  <si>
    <t>21.01.2024</t>
  </si>
  <si>
    <t>21.11.2024</t>
  </si>
  <si>
    <t>12.10.2024</t>
  </si>
  <si>
    <t>08.10.2024</t>
  </si>
  <si>
    <t>29.03.2024</t>
  </si>
  <si>
    <t>15.05.2024</t>
  </si>
  <si>
    <t>26.10.2024</t>
  </si>
  <si>
    <t>16.03.2024</t>
  </si>
  <si>
    <t>05.08.2024</t>
  </si>
  <si>
    <t>26.08.2024</t>
  </si>
  <si>
    <t>30.03.2024</t>
  </si>
  <si>
    <t>24.11.2024</t>
  </si>
  <si>
    <t>29.08.2024</t>
  </si>
  <si>
    <t>31.10.2024</t>
  </si>
  <si>
    <t>14.06.2024</t>
  </si>
  <si>
    <t>01.10.2024</t>
  </si>
  <si>
    <t>24.09.2024</t>
  </si>
  <si>
    <t>14.12.2024</t>
  </si>
  <si>
    <t>06.11.2024</t>
  </si>
  <si>
    <t>28.01.2024</t>
  </si>
  <si>
    <t>29.11.2024</t>
  </si>
  <si>
    <t>10.04.2024</t>
  </si>
  <si>
    <t>31.05.2024</t>
  </si>
  <si>
    <t>24.07.2024</t>
  </si>
  <si>
    <t>02.10.2024</t>
  </si>
  <si>
    <t>28.11.2024</t>
  </si>
  <si>
    <t>06.08.2024</t>
  </si>
  <si>
    <t>17.10.2024</t>
  </si>
  <si>
    <t>21.10.2024</t>
  </si>
  <si>
    <t>02.08.2024</t>
  </si>
  <si>
    <t>18.04.2024</t>
  </si>
  <si>
    <t>14.01.2024</t>
  </si>
  <si>
    <t>11.06.2024</t>
  </si>
  <si>
    <t>02.07.2024</t>
  </si>
  <si>
    <t>13.08.2024</t>
  </si>
  <si>
    <t>12.12.2024</t>
  </si>
  <si>
    <t>25.03.2024</t>
  </si>
  <si>
    <t>25.11.2024</t>
  </si>
  <si>
    <t>25.05.2024</t>
  </si>
  <si>
    <t>21.08.2024</t>
  </si>
  <si>
    <t>22.11.2024</t>
  </si>
  <si>
    <t>30.06.2024</t>
  </si>
  <si>
    <t>27.11.2024</t>
  </si>
  <si>
    <t>20.09.2024</t>
  </si>
  <si>
    <t>23.08.2024</t>
  </si>
  <si>
    <t>16.06.2024</t>
  </si>
  <si>
    <t>24.12.2024</t>
  </si>
  <si>
    <t>24.08.2024</t>
  </si>
  <si>
    <t>13.10.2024</t>
  </si>
  <si>
    <t>17.12.2024</t>
  </si>
  <si>
    <t>27.12.2024</t>
  </si>
  <si>
    <t>10.05.2024</t>
  </si>
  <si>
    <t>08.09.2024</t>
  </si>
  <si>
    <t>11.08.2024</t>
  </si>
  <si>
    <t>18.12.2024</t>
  </si>
  <si>
    <t>14.10.2024</t>
  </si>
  <si>
    <t>24.04.2024</t>
  </si>
  <si>
    <t>26.02.2024</t>
  </si>
  <si>
    <t>02.06.2024</t>
  </si>
  <si>
    <t>04.01.2024</t>
  </si>
  <si>
    <t>30.01.2024</t>
  </si>
  <si>
    <t>09.05.2024</t>
  </si>
  <si>
    <t>04.02.2024</t>
  </si>
  <si>
    <t>05.04.2024</t>
  </si>
  <si>
    <t>13.12.2024</t>
  </si>
  <si>
    <t>26.04.2024</t>
  </si>
  <si>
    <t>09.07.2024</t>
  </si>
  <si>
    <t>05.12.2024</t>
  </si>
  <si>
    <t>22.12.2024</t>
  </si>
  <si>
    <t>20.06.2024</t>
  </si>
  <si>
    <t>22.03.2024</t>
  </si>
  <si>
    <t>07.07.2024</t>
  </si>
  <si>
    <t>31.03.2024</t>
  </si>
  <si>
    <t>01.02.2024</t>
  </si>
  <si>
    <t>15.08.2024</t>
  </si>
  <si>
    <t>17.11.2024</t>
  </si>
  <si>
    <t>20.10.2024</t>
  </si>
  <si>
    <t>10.02.2024</t>
  </si>
  <si>
    <t>29.01.2024</t>
  </si>
  <si>
    <t>03.03.2024</t>
  </si>
  <si>
    <t>25.02.2024</t>
  </si>
  <si>
    <t>04.10.2024</t>
  </si>
  <si>
    <t>25.12.2024</t>
  </si>
  <si>
    <t>28.06.2024</t>
  </si>
  <si>
    <t>30.08.2024</t>
  </si>
  <si>
    <t>29.04.2024</t>
  </si>
  <si>
    <t>25.08.2024</t>
  </si>
  <si>
    <t>28.10.2024</t>
  </si>
  <si>
    <t>15.03.2024</t>
  </si>
  <si>
    <t>06.04.2024</t>
  </si>
  <si>
    <t>23.06.2024</t>
  </si>
  <si>
    <t>21.03.2024</t>
  </si>
  <si>
    <t>14.03.2024</t>
  </si>
  <si>
    <t>16.01.2024</t>
  </si>
  <si>
    <t>23.11.2024</t>
  </si>
  <si>
    <t>21.04.2024</t>
  </si>
  <si>
    <t>07.05.2024</t>
  </si>
  <si>
    <t>09.04.2024</t>
  </si>
  <si>
    <t>23.12.2024</t>
  </si>
  <si>
    <t>07.01.2024</t>
  </si>
  <si>
    <t>22.04.2024</t>
  </si>
  <si>
    <t>11.05.2024</t>
  </si>
  <si>
    <t>06.06.2024</t>
  </si>
  <si>
    <t>26.11.2024</t>
  </si>
  <si>
    <t>04.03.2024</t>
  </si>
  <si>
    <t>25.07.2024</t>
  </si>
  <si>
    <t>03.07.2024</t>
  </si>
  <si>
    <t>12.03.2024</t>
  </si>
  <si>
    <t>28.02.2024</t>
  </si>
  <si>
    <t>16.04.2024</t>
  </si>
  <si>
    <t>01.03.2024</t>
  </si>
  <si>
    <t>18.03.2024</t>
  </si>
  <si>
    <t>29.09.2024</t>
  </si>
  <si>
    <t>28.07.2024</t>
  </si>
  <si>
    <t>23.03.2024</t>
  </si>
  <si>
    <t>14.02.2024</t>
  </si>
  <si>
    <t>16.02.2024</t>
  </si>
  <si>
    <t>07.03.2024</t>
  </si>
  <si>
    <t>19.11.2024</t>
  </si>
  <si>
    <t>31.01.2024</t>
  </si>
  <si>
    <t>17.08.2024</t>
  </si>
  <si>
    <t>25.06.2024</t>
  </si>
  <si>
    <t>19.01.2024</t>
  </si>
  <si>
    <t>22.09.2024</t>
  </si>
  <si>
    <t>04.07.2024</t>
  </si>
  <si>
    <t>12.06.2024</t>
  </si>
  <si>
    <t>29.12.2024</t>
  </si>
  <si>
    <t>22.01.2024</t>
  </si>
  <si>
    <t>10.10.2024</t>
  </si>
  <si>
    <t>16.12.2024</t>
  </si>
  <si>
    <t>ООО «СтройМонтаж»</t>
  </si>
  <si>
    <t>АО «ГлавСтрой»</t>
  </si>
  <si>
    <t>ООО «БетонСтрой»</t>
  </si>
  <si>
    <t>ООО «Кирпич-Торг»</t>
  </si>
  <si>
    <t>ИП Строев С.С.</t>
  </si>
  <si>
    <t>ООО «Панель-Сервис»</t>
  </si>
  <si>
    <t>ООО «Фундамент»</t>
  </si>
  <si>
    <t>АО «Высота»</t>
  </si>
  <si>
    <t>ООО «Кран-Сервис»</t>
  </si>
  <si>
    <t>20.08.2024</t>
  </si>
  <si>
    <t>ООО «Леса-Торг»</t>
  </si>
  <si>
    <t>ИП Плотников П.П.</t>
  </si>
  <si>
    <t>ООО «СтройБаза»</t>
  </si>
  <si>
    <t>28.08.2024</t>
  </si>
  <si>
    <t>08.01.2024</t>
  </si>
  <si>
    <t>15.02.2024</t>
  </si>
  <si>
    <t>27.05.2024</t>
  </si>
  <si>
    <t>28.12.2024</t>
  </si>
  <si>
    <t>22.07.2024</t>
  </si>
  <si>
    <t>03.11.2024</t>
  </si>
  <si>
    <t>12.01.2024</t>
  </si>
  <si>
    <t>06.12.2024</t>
  </si>
  <si>
    <t>12.09.2024</t>
  </si>
  <si>
    <t>26.07.2024</t>
  </si>
  <si>
    <t>03.10.2024</t>
  </si>
  <si>
    <t>22.02.2024</t>
  </si>
  <si>
    <t>03.09.2024</t>
  </si>
  <si>
    <t>01.11.2024</t>
  </si>
  <si>
    <t>28.05.2024</t>
  </si>
  <si>
    <t>12.07.2024</t>
  </si>
  <si>
    <t>13.02.2024</t>
  </si>
  <si>
    <t>01.08.2024</t>
  </si>
  <si>
    <t>27.04.2024</t>
  </si>
  <si>
    <t>07.04.2024</t>
  </si>
  <si>
    <t>18.01.2024</t>
  </si>
  <si>
    <t>12.04.2024</t>
  </si>
  <si>
    <t>21.02.2024</t>
  </si>
  <si>
    <t>02.02.2024</t>
  </si>
  <si>
    <t>23.01.2024</t>
  </si>
  <si>
    <t>19.06.2024</t>
  </si>
  <si>
    <t>25.09.2024</t>
  </si>
  <si>
    <t>07.08.2024</t>
  </si>
  <si>
    <t>17.02.2024</t>
  </si>
  <si>
    <t>29.06.2024</t>
  </si>
  <si>
    <t>11.09.2024</t>
  </si>
  <si>
    <t>28.09.2024</t>
  </si>
  <si>
    <t>08.06.2024</t>
  </si>
  <si>
    <t>30.04.2024</t>
  </si>
  <si>
    <t>19.02.2024</t>
  </si>
  <si>
    <t>23.05.2024</t>
  </si>
  <si>
    <t>06.05.2024</t>
  </si>
  <si>
    <t>05.11.2024</t>
  </si>
  <si>
    <t>27.07.2024</t>
  </si>
  <si>
    <t>15.11.2024</t>
  </si>
  <si>
    <t>21.12.2024</t>
  </si>
  <si>
    <t>07.06.2024</t>
  </si>
  <si>
    <t>09.06.2024</t>
  </si>
  <si>
    <t>20.07.2024</t>
  </si>
  <si>
    <t>06.10.2024</t>
  </si>
  <si>
    <t>16.11.2024</t>
  </si>
  <si>
    <t>26.12.2024</t>
  </si>
  <si>
    <t>02.11.2024</t>
  </si>
  <si>
    <t>26.09.2024</t>
  </si>
  <si>
    <t>03.02.2024</t>
  </si>
  <si>
    <t>04.12.2024</t>
  </si>
  <si>
    <t>25.01.2024</t>
  </si>
  <si>
    <t>23.09.2024</t>
  </si>
  <si>
    <t>28.03.2024</t>
  </si>
  <si>
    <t>04.04.2024</t>
  </si>
  <si>
    <t>02.03.2024</t>
  </si>
  <si>
    <t>16.09.2024</t>
  </si>
  <si>
    <t>05.01.2024</t>
  </si>
  <si>
    <t>25.10.2024</t>
  </si>
  <si>
    <t>21.09.2024</t>
  </si>
  <si>
    <t>10.07.2024</t>
  </si>
  <si>
    <t>17.06.2024</t>
  </si>
  <si>
    <t>19.07.2024</t>
  </si>
  <si>
    <t>25.04.2024</t>
  </si>
  <si>
    <t>04.11.2024</t>
  </si>
  <si>
    <t>18.10.2024</t>
  </si>
  <si>
    <t>06.09.2024</t>
  </si>
  <si>
    <t>17.07.2024</t>
  </si>
  <si>
    <t>ООО «ТоргСервис»</t>
  </si>
  <si>
    <t>АО «РитейлГрупп»</t>
  </si>
  <si>
    <t>ООО «ОптТорг»</t>
  </si>
  <si>
    <t>ООО «Розница-Плюс»</t>
  </si>
  <si>
    <t>ИП Торговцев Т.Т.</t>
  </si>
  <si>
    <t>ООО «ПродуктТорг»</t>
  </si>
  <si>
    <t>ООО «МясоТорг»</t>
  </si>
  <si>
    <t>АО «РыбТорг»</t>
  </si>
  <si>
    <t>ООО «ОвощТорг»</t>
  </si>
  <si>
    <t>ООО «ФруктТорг»</t>
  </si>
  <si>
    <t>ИП Ягодкин Я.Я.</t>
  </si>
  <si>
    <t>ООО «МолокоТорг»</t>
  </si>
  <si>
    <t>02.09.2024</t>
  </si>
  <si>
    <t>06.01.2024</t>
  </si>
  <si>
    <t>09.08.2024</t>
  </si>
  <si>
    <t>02.12.2024</t>
  </si>
  <si>
    <t>01.05.2024</t>
  </si>
  <si>
    <t>13.06.2024</t>
  </si>
  <si>
    <t>23.10.2024</t>
  </si>
  <si>
    <t>03.04.2024</t>
  </si>
  <si>
    <t>10.06.2024</t>
  </si>
  <si>
    <t>27.03.2024</t>
  </si>
  <si>
    <t>01.12.2024</t>
  </si>
  <si>
    <t>01.01.2024</t>
  </si>
  <si>
    <t>13.11.2024</t>
  </si>
  <si>
    <t>18.11.2024</t>
  </si>
  <si>
    <t>03.05.2024</t>
  </si>
  <si>
    <t>09.02.2024</t>
  </si>
  <si>
    <t>14.05.2024</t>
  </si>
  <si>
    <t>12.11.2024</t>
  </si>
  <si>
    <t>ООО «Логистик-1»</t>
  </si>
  <si>
    <t>АО «ТрансЛогистик»</t>
  </si>
  <si>
    <t>ООО «СкладСервис»</t>
  </si>
  <si>
    <t>ООО «Грузоперевозки»</t>
  </si>
  <si>
    <t>ИП Перевозчиков П.П.</t>
  </si>
  <si>
    <t>ООО «Экспресс-Доставка»</t>
  </si>
  <si>
    <t>ООО «Курьер-Сервис»</t>
  </si>
  <si>
    <t>АО «Почта-Логистик»</t>
  </si>
  <si>
    <t>ООО «Склад-Торг»</t>
  </si>
  <si>
    <t>ООО «Терминал-Плюс»</t>
  </si>
  <si>
    <t>ИП Логистов Л.Л.</t>
  </si>
  <si>
    <t>ООО «Карго-Сервис»</t>
  </si>
  <si>
    <t>01.09.2024</t>
  </si>
  <si>
    <t>12.05.2024</t>
  </si>
  <si>
    <t>20.02.2024</t>
  </si>
  <si>
    <t>04.08.2024</t>
  </si>
  <si>
    <t>05.07.2024</t>
  </si>
  <si>
    <t>ООО «АйТи-Сервис»</t>
  </si>
  <si>
    <t>АО «Софт-Групп»</t>
  </si>
  <si>
    <t>ООО «Хард-Сервис»</t>
  </si>
  <si>
    <t>ООО «Веб-Студия»</t>
  </si>
  <si>
    <t>ИП Программистов П.П.</t>
  </si>
  <si>
    <t>ООО «Девелопер-Сервис»</t>
  </si>
  <si>
    <t>ООО «Аналитик-Софт»</t>
  </si>
  <si>
    <t>АО «Дата-Центр»</t>
  </si>
  <si>
    <t>ООО «Клауд-Сервис»</t>
  </si>
  <si>
    <t>ООО «Секьюрити-Софт»</t>
  </si>
  <si>
    <t>ИП Разработчиков Р.Р.</t>
  </si>
  <si>
    <t>ООО «Тест-Софт»</t>
  </si>
  <si>
    <t>24.05.2024</t>
  </si>
  <si>
    <t>ООО «МедСервис»</t>
  </si>
  <si>
    <t>АО «ФармГрупп»</t>
  </si>
  <si>
    <t>ООО «Аптека-Сервис»</t>
  </si>
  <si>
    <t>ООО «МедТех-Торг»</t>
  </si>
  <si>
    <t>ИП Врачов В.В.</t>
  </si>
  <si>
    <t>ООО «Клиника-Плюс»</t>
  </si>
  <si>
    <t>ООО «Диагностика-Сервис»</t>
  </si>
  <si>
    <t>АО «Лаборатория-Групп»</t>
  </si>
  <si>
    <t>ООО «Анализ-Сервис»</t>
  </si>
  <si>
    <t>ООО «МедОборудование»</t>
  </si>
  <si>
    <t>ИП Медсестров М.М.</t>
  </si>
  <si>
    <t>ООО «Стоматология-Сервис»</t>
  </si>
  <si>
    <t>13.09.2024</t>
  </si>
  <si>
    <t>ООО «Завод-1»</t>
  </si>
  <si>
    <t>АО «Металлург»</t>
  </si>
  <si>
    <t>ООО «Прокат-Сервис»</t>
  </si>
  <si>
    <t>ООО «Литьё-Сервис»</t>
  </si>
  <si>
    <t>ИП Металлистов М.М.</t>
  </si>
  <si>
    <t>ООО «Прокат-Плюс»</t>
  </si>
  <si>
    <t>ООО «Литьё-Плюс»</t>
  </si>
  <si>
    <t>АО «Сталь-Групп»</t>
  </si>
  <si>
    <t>ООО «Чугун-Сервис»</t>
  </si>
  <si>
    <t>ООО «Алюминий-Сервис»</t>
  </si>
  <si>
    <t>ИП Алюминиев А.А.</t>
  </si>
  <si>
    <t>ООО «Медь-Сервис»</t>
  </si>
  <si>
    <t>ООО «ФинСервис»</t>
  </si>
  <si>
    <t>АО «Банк-Групп»</t>
  </si>
  <si>
    <t>ООО «Кредит-Сервис»</t>
  </si>
  <si>
    <t>ООО «Депозит-Сервис»</t>
  </si>
  <si>
    <t>ИП Банкиров Б.Б.</t>
  </si>
  <si>
    <t>ООО «Инвест-Плюс»</t>
  </si>
  <si>
    <t>ООО «Фонд-Сервис»</t>
  </si>
  <si>
    <t>АО «Страх-Групп»</t>
  </si>
  <si>
    <t>ООО «Лизинг-Сервис»</t>
  </si>
  <si>
    <t>ООО «Факторинг-Сервис»</t>
  </si>
  <si>
    <t>ИП Факторингов Ф.Ф.</t>
  </si>
  <si>
    <t>ООО «Брокер-Сервис»</t>
  </si>
  <si>
    <t>ООО «Транс-1»</t>
  </si>
  <si>
    <t>АО «АвтоТранс»</t>
  </si>
  <si>
    <t>ООО «ЖД-Сервис»</t>
  </si>
  <si>
    <t>ООО «Авиа-Сервис»</t>
  </si>
  <si>
    <t>ООО «Мор-Сервис»</t>
  </si>
  <si>
    <t>ООО «Реч-Сервис»</t>
  </si>
  <si>
    <t>АО «Труб-Групп»</t>
  </si>
  <si>
    <t>ООО «Газ-Сервис»</t>
  </si>
  <si>
    <t>ООО «Нефть-Сервис»</t>
  </si>
  <si>
    <t>ИП Нефтяников Н.Н.</t>
  </si>
  <si>
    <t>ООО «Хим-Сервис»</t>
  </si>
  <si>
    <t>ООО «Птица-Сервис»</t>
  </si>
  <si>
    <t>ООО «Молоко-Сервис»</t>
  </si>
  <si>
    <t>АО «Свиновод-Групп»</t>
  </si>
  <si>
    <t>ИП Овцеводов О.О.</t>
  </si>
  <si>
    <t>ООО «Мясо-Сервис»</t>
  </si>
  <si>
    <t>АО «АгроХолдинг»</t>
  </si>
  <si>
    <t>ООО «Овца-Сервис»</t>
  </si>
  <si>
    <t>ИП Фермеров Ф.Ф.</t>
  </si>
  <si>
    <t>ООО «Коров-Сервис»</t>
  </si>
  <si>
    <t>ООО «Агро-1»</t>
  </si>
  <si>
    <t>ООО «Зерно-Сервис»</t>
  </si>
  <si>
    <t>ООО «Коза-Сервис»</t>
  </si>
  <si>
    <t>n=</t>
  </si>
  <si>
    <t>дисп</t>
  </si>
  <si>
    <t>макс</t>
  </si>
  <si>
    <t>мин</t>
  </si>
  <si>
    <t>срзнач</t>
  </si>
  <si>
    <t>сигма</t>
  </si>
  <si>
    <t>дельта</t>
  </si>
  <si>
    <t>n по моей сигме</t>
  </si>
  <si>
    <t>V сигма</t>
  </si>
  <si>
    <t>в1</t>
  </si>
  <si>
    <t>в2</t>
  </si>
  <si>
    <t>в3</t>
  </si>
  <si>
    <t>в4</t>
  </si>
  <si>
    <t>в5</t>
  </si>
  <si>
    <t>в6</t>
  </si>
  <si>
    <t>в7</t>
  </si>
  <si>
    <t>в8</t>
  </si>
  <si>
    <t>в9</t>
  </si>
  <si>
    <t>в10</t>
  </si>
  <si>
    <t>среднее</t>
  </si>
  <si>
    <t>сигма2</t>
  </si>
  <si>
    <t>v сигма</t>
  </si>
  <si>
    <t>n</t>
  </si>
  <si>
    <t>сгенерировано</t>
  </si>
  <si>
    <t>подбор</t>
  </si>
  <si>
    <t>Названия строк</t>
  </si>
  <si>
    <t>Общий итог</t>
  </si>
  <si>
    <t>Названия столбцов</t>
  </si>
  <si>
    <t>Количество по полю Номер счета</t>
  </si>
  <si>
    <t>Oij</t>
  </si>
  <si>
    <t>Eij</t>
  </si>
  <si>
    <t>хи квадрат</t>
  </si>
  <si>
    <t>чупров</t>
  </si>
  <si>
    <t>пирсон</t>
  </si>
  <si>
    <t>удаление нулевых и крупных выбросов в целом не решает проблему сильного разброса совокупности, V sigma остается порядка 93%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</si>
</sst>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  <charset val="204"/>
    </font>
    <font>
      <sz val="11"/>
      <color rgb="FF3B3B3B"/>
      <name val="Consolas"/>
      <family val="3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9" fontId="0" fillId="0" borderId="0" xfId="1" applyFont="1"/>
    <xf numFmtId="1" fontId="0" fillId="0" borderId="0" xfId="1" applyNumberFormat="1" applyFont="1"/>
    <xf numFmtId="0" fontId="0" fillId="0" borderId="0" xfId="0" applyAlignment="1">
      <alignment horizontal="center"/>
    </xf>
    <xf numFmtId="9" fontId="0" fillId="2" borderId="0" xfId="1" applyFont="1" applyFill="1"/>
    <xf numFmtId="1" fontId="0" fillId="2" borderId="0" xfId="1" applyNumberFormat="1" applyFont="1" applyFill="1"/>
    <xf numFmtId="0" fontId="0" fillId="3" borderId="0" xfId="0" applyFill="1"/>
    <xf numFmtId="9" fontId="0" fillId="3" borderId="0" xfId="1" applyFont="1" applyFill="1"/>
    <xf numFmtId="1" fontId="0" fillId="3" borderId="0" xfId="1" applyNumberFormat="1" applyFont="1" applyFill="1"/>
    <xf numFmtId="9" fontId="0" fillId="4" borderId="0" xfId="1" applyFont="1" applyFill="1"/>
    <xf numFmtId="1" fontId="0" fillId="4" borderId="0" xfId="1" applyNumberFormat="1" applyFont="1" applyFill="1"/>
    <xf numFmtId="164" fontId="0" fillId="3" borderId="0" xfId="0" applyNumberFormat="1" applyFill="1"/>
    <xf numFmtId="11" fontId="0" fillId="0" borderId="0" xfId="0" applyNumberFormat="1"/>
    <xf numFmtId="2" fontId="0" fillId="3" borderId="0" xfId="0" applyNumberFormat="1" applyFill="1"/>
    <xf numFmtId="164" fontId="0" fillId="2" borderId="0" xfId="0" applyNumberFormat="1" applyFill="1"/>
    <xf numFmtId="164" fontId="0" fillId="4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4" fillId="5" borderId="0" xfId="0" applyFont="1" applyFill="1"/>
    <xf numFmtId="0" fontId="4" fillId="5" borderId="2" xfId="0" applyFont="1" applyFill="1" applyBorder="1"/>
    <xf numFmtId="0" fontId="0" fillId="0" borderId="0" xfId="0" applyNumberFormat="1"/>
    <xf numFmtId="0" fontId="4" fillId="5" borderId="3" xfId="0" applyFont="1" applyFill="1" applyBorder="1" applyAlignment="1">
      <alignment horizontal="left"/>
    </xf>
    <xf numFmtId="0" fontId="4" fillId="5" borderId="3" xfId="0" applyNumberFormat="1" applyFont="1" applyFill="1" applyBorder="1"/>
    <xf numFmtId="0" fontId="0" fillId="0" borderId="0" xfId="0" applyAlignment="1">
      <alignment horizontal="center"/>
    </xf>
    <xf numFmtId="11" fontId="5" fillId="0" borderId="0" xfId="0" applyNumberFormat="1" applyFont="1"/>
    <xf numFmtId="11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'Вариант 1 (2)'!$D$1</c:f>
              <c:strCache>
                <c:ptCount val="1"/>
                <c:pt idx="0">
                  <c:v>Сумма счёта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'Вариант 1 (2)'!$D$2:$D$501</c:f>
              <c:numCache>
                <c:formatCode>General</c:formatCode>
                <c:ptCount val="500"/>
                <c:pt idx="0">
                  <c:v>84900</c:v>
                </c:pt>
                <c:pt idx="1">
                  <c:v>30700</c:v>
                </c:pt>
                <c:pt idx="2">
                  <c:v>12200</c:v>
                </c:pt>
                <c:pt idx="3">
                  <c:v>110600</c:v>
                </c:pt>
                <c:pt idx="4">
                  <c:v>8200</c:v>
                </c:pt>
                <c:pt idx="5">
                  <c:v>24600</c:v>
                </c:pt>
                <c:pt idx="6">
                  <c:v>37900</c:v>
                </c:pt>
                <c:pt idx="7">
                  <c:v>18300</c:v>
                </c:pt>
                <c:pt idx="8">
                  <c:v>25900</c:v>
                </c:pt>
                <c:pt idx="9">
                  <c:v>65000</c:v>
                </c:pt>
                <c:pt idx="10">
                  <c:v>38400</c:v>
                </c:pt>
                <c:pt idx="11">
                  <c:v>263500</c:v>
                </c:pt>
                <c:pt idx="12">
                  <c:v>29500</c:v>
                </c:pt>
                <c:pt idx="13">
                  <c:v>33200</c:v>
                </c:pt>
                <c:pt idx="14">
                  <c:v>107300</c:v>
                </c:pt>
                <c:pt idx="15">
                  <c:v>93600</c:v>
                </c:pt>
                <c:pt idx="16">
                  <c:v>127400</c:v>
                </c:pt>
                <c:pt idx="17">
                  <c:v>27100</c:v>
                </c:pt>
                <c:pt idx="18">
                  <c:v>65300</c:v>
                </c:pt>
                <c:pt idx="19">
                  <c:v>12800</c:v>
                </c:pt>
                <c:pt idx="20">
                  <c:v>26300</c:v>
                </c:pt>
                <c:pt idx="21">
                  <c:v>19600</c:v>
                </c:pt>
                <c:pt idx="22">
                  <c:v>52400</c:v>
                </c:pt>
                <c:pt idx="23">
                  <c:v>105900</c:v>
                </c:pt>
                <c:pt idx="24">
                  <c:v>29300</c:v>
                </c:pt>
                <c:pt idx="25">
                  <c:v>32600</c:v>
                </c:pt>
                <c:pt idx="26">
                  <c:v>87700</c:v>
                </c:pt>
                <c:pt idx="27">
                  <c:v>19300</c:v>
                </c:pt>
                <c:pt idx="28">
                  <c:v>121400</c:v>
                </c:pt>
                <c:pt idx="29">
                  <c:v>6200</c:v>
                </c:pt>
                <c:pt idx="30">
                  <c:v>27600</c:v>
                </c:pt>
                <c:pt idx="31">
                  <c:v>36500</c:v>
                </c:pt>
                <c:pt idx="32">
                  <c:v>29600</c:v>
                </c:pt>
                <c:pt idx="33">
                  <c:v>23200</c:v>
                </c:pt>
                <c:pt idx="34">
                  <c:v>15300</c:v>
                </c:pt>
                <c:pt idx="35">
                  <c:v>5800</c:v>
                </c:pt>
                <c:pt idx="36">
                  <c:v>15600</c:v>
                </c:pt>
                <c:pt idx="37">
                  <c:v>55900</c:v>
                </c:pt>
                <c:pt idx="38">
                  <c:v>53400</c:v>
                </c:pt>
                <c:pt idx="39">
                  <c:v>205200</c:v>
                </c:pt>
                <c:pt idx="40">
                  <c:v>70900</c:v>
                </c:pt>
                <c:pt idx="41">
                  <c:v>170500</c:v>
                </c:pt>
                <c:pt idx="42">
                  <c:v>17100</c:v>
                </c:pt>
                <c:pt idx="43">
                  <c:v>15100</c:v>
                </c:pt>
                <c:pt idx="44">
                  <c:v>30500</c:v>
                </c:pt>
                <c:pt idx="45">
                  <c:v>55800</c:v>
                </c:pt>
                <c:pt idx="46">
                  <c:v>27900</c:v>
                </c:pt>
                <c:pt idx="47">
                  <c:v>27900</c:v>
                </c:pt>
                <c:pt idx="48">
                  <c:v>92400</c:v>
                </c:pt>
                <c:pt idx="49">
                  <c:v>23900</c:v>
                </c:pt>
                <c:pt idx="50">
                  <c:v>158600</c:v>
                </c:pt>
                <c:pt idx="51">
                  <c:v>73400</c:v>
                </c:pt>
                <c:pt idx="52">
                  <c:v>62300</c:v>
                </c:pt>
                <c:pt idx="53">
                  <c:v>16600</c:v>
                </c:pt>
                <c:pt idx="54">
                  <c:v>57000</c:v>
                </c:pt>
                <c:pt idx="55">
                  <c:v>46500</c:v>
                </c:pt>
                <c:pt idx="56">
                  <c:v>93200</c:v>
                </c:pt>
                <c:pt idx="57">
                  <c:v>24100</c:v>
                </c:pt>
                <c:pt idx="58">
                  <c:v>108600</c:v>
                </c:pt>
                <c:pt idx="59">
                  <c:v>5000</c:v>
                </c:pt>
                <c:pt idx="60">
                  <c:v>28100</c:v>
                </c:pt>
                <c:pt idx="61">
                  <c:v>190900</c:v>
                </c:pt>
                <c:pt idx="62">
                  <c:v>36700</c:v>
                </c:pt>
                <c:pt idx="63">
                  <c:v>26400</c:v>
                </c:pt>
                <c:pt idx="64">
                  <c:v>155800</c:v>
                </c:pt>
                <c:pt idx="65">
                  <c:v>25200</c:v>
                </c:pt>
                <c:pt idx="66">
                  <c:v>19800</c:v>
                </c:pt>
                <c:pt idx="67">
                  <c:v>50900</c:v>
                </c:pt>
                <c:pt idx="68">
                  <c:v>51800</c:v>
                </c:pt>
                <c:pt idx="69">
                  <c:v>49900</c:v>
                </c:pt>
                <c:pt idx="70">
                  <c:v>19000</c:v>
                </c:pt>
                <c:pt idx="71">
                  <c:v>23500</c:v>
                </c:pt>
                <c:pt idx="72">
                  <c:v>24100</c:v>
                </c:pt>
                <c:pt idx="73">
                  <c:v>84400</c:v>
                </c:pt>
                <c:pt idx="74">
                  <c:v>19900</c:v>
                </c:pt>
                <c:pt idx="75">
                  <c:v>30800</c:v>
                </c:pt>
                <c:pt idx="76">
                  <c:v>35200</c:v>
                </c:pt>
                <c:pt idx="77">
                  <c:v>39100</c:v>
                </c:pt>
                <c:pt idx="78">
                  <c:v>43500</c:v>
                </c:pt>
                <c:pt idx="79">
                  <c:v>39100</c:v>
                </c:pt>
                <c:pt idx="80">
                  <c:v>68100</c:v>
                </c:pt>
                <c:pt idx="81">
                  <c:v>12200</c:v>
                </c:pt>
                <c:pt idx="82">
                  <c:v>28600</c:v>
                </c:pt>
                <c:pt idx="83">
                  <c:v>96300</c:v>
                </c:pt>
                <c:pt idx="84">
                  <c:v>52700</c:v>
                </c:pt>
                <c:pt idx="85">
                  <c:v>57200</c:v>
                </c:pt>
                <c:pt idx="86">
                  <c:v>30900</c:v>
                </c:pt>
                <c:pt idx="87">
                  <c:v>35000</c:v>
                </c:pt>
                <c:pt idx="88">
                  <c:v>47600</c:v>
                </c:pt>
                <c:pt idx="89">
                  <c:v>156700</c:v>
                </c:pt>
                <c:pt idx="90">
                  <c:v>21700</c:v>
                </c:pt>
                <c:pt idx="91">
                  <c:v>106600</c:v>
                </c:pt>
                <c:pt idx="92">
                  <c:v>11800</c:v>
                </c:pt>
                <c:pt idx="93">
                  <c:v>21500</c:v>
                </c:pt>
                <c:pt idx="94">
                  <c:v>49500</c:v>
                </c:pt>
                <c:pt idx="95">
                  <c:v>39100</c:v>
                </c:pt>
                <c:pt idx="96">
                  <c:v>17700</c:v>
                </c:pt>
                <c:pt idx="97">
                  <c:v>40500</c:v>
                </c:pt>
                <c:pt idx="98">
                  <c:v>129700</c:v>
                </c:pt>
                <c:pt idx="99">
                  <c:v>15500</c:v>
                </c:pt>
                <c:pt idx="100">
                  <c:v>13500</c:v>
                </c:pt>
                <c:pt idx="101">
                  <c:v>19300</c:v>
                </c:pt>
                <c:pt idx="102">
                  <c:v>49200</c:v>
                </c:pt>
                <c:pt idx="103">
                  <c:v>69700</c:v>
                </c:pt>
                <c:pt idx="104">
                  <c:v>68300</c:v>
                </c:pt>
                <c:pt idx="105">
                  <c:v>79000</c:v>
                </c:pt>
                <c:pt idx="106">
                  <c:v>99700</c:v>
                </c:pt>
                <c:pt idx="107">
                  <c:v>20900</c:v>
                </c:pt>
                <c:pt idx="108">
                  <c:v>55700</c:v>
                </c:pt>
                <c:pt idx="109">
                  <c:v>221100</c:v>
                </c:pt>
                <c:pt idx="110">
                  <c:v>62500</c:v>
                </c:pt>
                <c:pt idx="112">
                  <c:v>78100</c:v>
                </c:pt>
                <c:pt idx="113">
                  <c:v>21700</c:v>
                </c:pt>
                <c:pt idx="114">
                  <c:v>18600</c:v>
                </c:pt>
                <c:pt idx="115">
                  <c:v>40400</c:v>
                </c:pt>
                <c:pt idx="116">
                  <c:v>10700</c:v>
                </c:pt>
                <c:pt idx="117">
                  <c:v>7600</c:v>
                </c:pt>
                <c:pt idx="118">
                  <c:v>9500</c:v>
                </c:pt>
                <c:pt idx="119">
                  <c:v>55900</c:v>
                </c:pt>
                <c:pt idx="120">
                  <c:v>8100</c:v>
                </c:pt>
                <c:pt idx="121">
                  <c:v>35700</c:v>
                </c:pt>
                <c:pt idx="122">
                  <c:v>146900</c:v>
                </c:pt>
                <c:pt idx="123">
                  <c:v>13000</c:v>
                </c:pt>
                <c:pt idx="124">
                  <c:v>64300</c:v>
                </c:pt>
                <c:pt idx="125">
                  <c:v>135000</c:v>
                </c:pt>
                <c:pt idx="127">
                  <c:v>11200</c:v>
                </c:pt>
                <c:pt idx="128">
                  <c:v>19700</c:v>
                </c:pt>
                <c:pt idx="129">
                  <c:v>58900</c:v>
                </c:pt>
                <c:pt idx="130">
                  <c:v>10300</c:v>
                </c:pt>
                <c:pt idx="131">
                  <c:v>5000</c:v>
                </c:pt>
                <c:pt idx="132">
                  <c:v>249500</c:v>
                </c:pt>
                <c:pt idx="133">
                  <c:v>20600</c:v>
                </c:pt>
                <c:pt idx="134">
                  <c:v>56700</c:v>
                </c:pt>
                <c:pt idx="135">
                  <c:v>9500</c:v>
                </c:pt>
                <c:pt idx="136">
                  <c:v>28900</c:v>
                </c:pt>
                <c:pt idx="137">
                  <c:v>103700</c:v>
                </c:pt>
                <c:pt idx="138">
                  <c:v>63400</c:v>
                </c:pt>
                <c:pt idx="139">
                  <c:v>32900</c:v>
                </c:pt>
                <c:pt idx="140">
                  <c:v>15400</c:v>
                </c:pt>
                <c:pt idx="141">
                  <c:v>231600</c:v>
                </c:pt>
                <c:pt idx="142">
                  <c:v>32700</c:v>
                </c:pt>
                <c:pt idx="143">
                  <c:v>5400</c:v>
                </c:pt>
                <c:pt idx="144">
                  <c:v>94800</c:v>
                </c:pt>
                <c:pt idx="145">
                  <c:v>7500</c:v>
                </c:pt>
                <c:pt idx="146">
                  <c:v>29500</c:v>
                </c:pt>
                <c:pt idx="147">
                  <c:v>34300</c:v>
                </c:pt>
                <c:pt idx="148">
                  <c:v>13700</c:v>
                </c:pt>
                <c:pt idx="149">
                  <c:v>41700</c:v>
                </c:pt>
                <c:pt idx="150">
                  <c:v>21800</c:v>
                </c:pt>
                <c:pt idx="152">
                  <c:v>79600</c:v>
                </c:pt>
                <c:pt idx="153">
                  <c:v>52800</c:v>
                </c:pt>
                <c:pt idx="154">
                  <c:v>42400</c:v>
                </c:pt>
                <c:pt idx="155">
                  <c:v>21100</c:v>
                </c:pt>
                <c:pt idx="156">
                  <c:v>97400</c:v>
                </c:pt>
                <c:pt idx="157">
                  <c:v>19000</c:v>
                </c:pt>
                <c:pt idx="158">
                  <c:v>179600</c:v>
                </c:pt>
                <c:pt idx="159">
                  <c:v>37900</c:v>
                </c:pt>
                <c:pt idx="160">
                  <c:v>243300</c:v>
                </c:pt>
                <c:pt idx="161">
                  <c:v>29700</c:v>
                </c:pt>
                <c:pt idx="162">
                  <c:v>28600</c:v>
                </c:pt>
                <c:pt idx="163">
                  <c:v>52400</c:v>
                </c:pt>
                <c:pt idx="164">
                  <c:v>67800</c:v>
                </c:pt>
                <c:pt idx="165">
                  <c:v>139700</c:v>
                </c:pt>
                <c:pt idx="166">
                  <c:v>41600</c:v>
                </c:pt>
                <c:pt idx="167">
                  <c:v>68100</c:v>
                </c:pt>
                <c:pt idx="168">
                  <c:v>62000</c:v>
                </c:pt>
                <c:pt idx="169">
                  <c:v>15500</c:v>
                </c:pt>
                <c:pt idx="170">
                  <c:v>53300</c:v>
                </c:pt>
                <c:pt idx="171">
                  <c:v>9200</c:v>
                </c:pt>
                <c:pt idx="172">
                  <c:v>18300</c:v>
                </c:pt>
                <c:pt idx="173">
                  <c:v>28200</c:v>
                </c:pt>
                <c:pt idx="174">
                  <c:v>130700</c:v>
                </c:pt>
                <c:pt idx="175">
                  <c:v>36300</c:v>
                </c:pt>
                <c:pt idx="176">
                  <c:v>100200</c:v>
                </c:pt>
                <c:pt idx="177">
                  <c:v>31500</c:v>
                </c:pt>
                <c:pt idx="178">
                  <c:v>75800</c:v>
                </c:pt>
                <c:pt idx="179">
                  <c:v>9800</c:v>
                </c:pt>
                <c:pt idx="180">
                  <c:v>47400</c:v>
                </c:pt>
                <c:pt idx="181">
                  <c:v>21200</c:v>
                </c:pt>
                <c:pt idx="182">
                  <c:v>62100</c:v>
                </c:pt>
                <c:pt idx="183">
                  <c:v>21400</c:v>
                </c:pt>
                <c:pt idx="184">
                  <c:v>9100</c:v>
                </c:pt>
                <c:pt idx="185">
                  <c:v>11600</c:v>
                </c:pt>
                <c:pt idx="186">
                  <c:v>67100</c:v>
                </c:pt>
                <c:pt idx="187">
                  <c:v>21500</c:v>
                </c:pt>
                <c:pt idx="188">
                  <c:v>44500</c:v>
                </c:pt>
                <c:pt idx="190">
                  <c:v>48200</c:v>
                </c:pt>
                <c:pt idx="191">
                  <c:v>34500</c:v>
                </c:pt>
                <c:pt idx="192">
                  <c:v>12000</c:v>
                </c:pt>
                <c:pt idx="193">
                  <c:v>103900</c:v>
                </c:pt>
                <c:pt idx="194">
                  <c:v>56600</c:v>
                </c:pt>
                <c:pt idx="195">
                  <c:v>11300</c:v>
                </c:pt>
                <c:pt idx="196">
                  <c:v>17700</c:v>
                </c:pt>
                <c:pt idx="197">
                  <c:v>37800</c:v>
                </c:pt>
                <c:pt idx="199">
                  <c:v>34700</c:v>
                </c:pt>
                <c:pt idx="200">
                  <c:v>16800</c:v>
                </c:pt>
                <c:pt idx="201">
                  <c:v>63700</c:v>
                </c:pt>
                <c:pt idx="202">
                  <c:v>46000</c:v>
                </c:pt>
                <c:pt idx="203">
                  <c:v>61900</c:v>
                </c:pt>
                <c:pt idx="204">
                  <c:v>18600</c:v>
                </c:pt>
                <c:pt idx="205">
                  <c:v>61400</c:v>
                </c:pt>
                <c:pt idx="206">
                  <c:v>5000</c:v>
                </c:pt>
                <c:pt idx="207">
                  <c:v>47800</c:v>
                </c:pt>
                <c:pt idx="208">
                  <c:v>11800</c:v>
                </c:pt>
                <c:pt idx="209">
                  <c:v>9800</c:v>
                </c:pt>
                <c:pt idx="210">
                  <c:v>16300</c:v>
                </c:pt>
                <c:pt idx="211">
                  <c:v>25800</c:v>
                </c:pt>
                <c:pt idx="212">
                  <c:v>25000</c:v>
                </c:pt>
                <c:pt idx="213">
                  <c:v>52400</c:v>
                </c:pt>
                <c:pt idx="214">
                  <c:v>14200</c:v>
                </c:pt>
                <c:pt idx="215">
                  <c:v>41200</c:v>
                </c:pt>
                <c:pt idx="216">
                  <c:v>21400</c:v>
                </c:pt>
                <c:pt idx="217">
                  <c:v>45100</c:v>
                </c:pt>
                <c:pt idx="218">
                  <c:v>77700</c:v>
                </c:pt>
                <c:pt idx="219">
                  <c:v>95200</c:v>
                </c:pt>
                <c:pt idx="220">
                  <c:v>124800</c:v>
                </c:pt>
                <c:pt idx="221">
                  <c:v>10200</c:v>
                </c:pt>
                <c:pt idx="222">
                  <c:v>30300</c:v>
                </c:pt>
                <c:pt idx="223">
                  <c:v>84000</c:v>
                </c:pt>
                <c:pt idx="224">
                  <c:v>59300</c:v>
                </c:pt>
                <c:pt idx="225">
                  <c:v>8600</c:v>
                </c:pt>
                <c:pt idx="226">
                  <c:v>6900</c:v>
                </c:pt>
                <c:pt idx="227">
                  <c:v>58600</c:v>
                </c:pt>
                <c:pt idx="228">
                  <c:v>122600</c:v>
                </c:pt>
                <c:pt idx="229">
                  <c:v>14300</c:v>
                </c:pt>
                <c:pt idx="230">
                  <c:v>37800</c:v>
                </c:pt>
                <c:pt idx="231">
                  <c:v>39500</c:v>
                </c:pt>
                <c:pt idx="232">
                  <c:v>168400</c:v>
                </c:pt>
                <c:pt idx="233">
                  <c:v>31700</c:v>
                </c:pt>
                <c:pt idx="234">
                  <c:v>98600</c:v>
                </c:pt>
                <c:pt idx="235">
                  <c:v>58500</c:v>
                </c:pt>
                <c:pt idx="236">
                  <c:v>31900</c:v>
                </c:pt>
                <c:pt idx="237">
                  <c:v>12000</c:v>
                </c:pt>
                <c:pt idx="238">
                  <c:v>22400</c:v>
                </c:pt>
                <c:pt idx="239">
                  <c:v>102100</c:v>
                </c:pt>
                <c:pt idx="240">
                  <c:v>29500</c:v>
                </c:pt>
                <c:pt idx="241">
                  <c:v>50600</c:v>
                </c:pt>
                <c:pt idx="242">
                  <c:v>12300</c:v>
                </c:pt>
                <c:pt idx="243">
                  <c:v>5700</c:v>
                </c:pt>
                <c:pt idx="244">
                  <c:v>13400</c:v>
                </c:pt>
                <c:pt idx="245">
                  <c:v>133000</c:v>
                </c:pt>
                <c:pt idx="246">
                  <c:v>52700</c:v>
                </c:pt>
                <c:pt idx="247">
                  <c:v>16400</c:v>
                </c:pt>
                <c:pt idx="248">
                  <c:v>8300</c:v>
                </c:pt>
                <c:pt idx="249">
                  <c:v>177100</c:v>
                </c:pt>
                <c:pt idx="250">
                  <c:v>32500</c:v>
                </c:pt>
                <c:pt idx="251">
                  <c:v>34300</c:v>
                </c:pt>
                <c:pt idx="252">
                  <c:v>11900</c:v>
                </c:pt>
                <c:pt idx="253">
                  <c:v>103300</c:v>
                </c:pt>
                <c:pt idx="254">
                  <c:v>29900</c:v>
                </c:pt>
                <c:pt idx="255">
                  <c:v>21300</c:v>
                </c:pt>
                <c:pt idx="256">
                  <c:v>7500</c:v>
                </c:pt>
                <c:pt idx="257">
                  <c:v>48900</c:v>
                </c:pt>
                <c:pt idx="258">
                  <c:v>41200</c:v>
                </c:pt>
                <c:pt idx="259">
                  <c:v>14000</c:v>
                </c:pt>
                <c:pt idx="260">
                  <c:v>26400</c:v>
                </c:pt>
                <c:pt idx="261">
                  <c:v>10300</c:v>
                </c:pt>
                <c:pt idx="262">
                  <c:v>13600</c:v>
                </c:pt>
                <c:pt idx="263">
                  <c:v>113100</c:v>
                </c:pt>
                <c:pt idx="264">
                  <c:v>9800</c:v>
                </c:pt>
                <c:pt idx="265">
                  <c:v>36100</c:v>
                </c:pt>
                <c:pt idx="266">
                  <c:v>60500</c:v>
                </c:pt>
                <c:pt idx="267">
                  <c:v>79700</c:v>
                </c:pt>
                <c:pt idx="268">
                  <c:v>12600</c:v>
                </c:pt>
                <c:pt idx="269">
                  <c:v>42200</c:v>
                </c:pt>
                <c:pt idx="270">
                  <c:v>41000</c:v>
                </c:pt>
                <c:pt idx="271">
                  <c:v>15300</c:v>
                </c:pt>
                <c:pt idx="272">
                  <c:v>30300</c:v>
                </c:pt>
                <c:pt idx="273">
                  <c:v>92500</c:v>
                </c:pt>
                <c:pt idx="274">
                  <c:v>54700</c:v>
                </c:pt>
                <c:pt idx="275">
                  <c:v>54000</c:v>
                </c:pt>
                <c:pt idx="277">
                  <c:v>30400</c:v>
                </c:pt>
                <c:pt idx="278">
                  <c:v>7400</c:v>
                </c:pt>
                <c:pt idx="279">
                  <c:v>70300</c:v>
                </c:pt>
                <c:pt idx="280">
                  <c:v>32500</c:v>
                </c:pt>
                <c:pt idx="281">
                  <c:v>18200</c:v>
                </c:pt>
                <c:pt idx="282">
                  <c:v>23100</c:v>
                </c:pt>
                <c:pt idx="283">
                  <c:v>13600</c:v>
                </c:pt>
                <c:pt idx="284">
                  <c:v>37500</c:v>
                </c:pt>
                <c:pt idx="285">
                  <c:v>18900</c:v>
                </c:pt>
                <c:pt idx="286">
                  <c:v>17100</c:v>
                </c:pt>
                <c:pt idx="287">
                  <c:v>140700</c:v>
                </c:pt>
                <c:pt idx="288">
                  <c:v>71200</c:v>
                </c:pt>
                <c:pt idx="289">
                  <c:v>103300</c:v>
                </c:pt>
                <c:pt idx="290">
                  <c:v>16300</c:v>
                </c:pt>
                <c:pt idx="291">
                  <c:v>15800</c:v>
                </c:pt>
                <c:pt idx="292">
                  <c:v>10900</c:v>
                </c:pt>
                <c:pt idx="293">
                  <c:v>60600</c:v>
                </c:pt>
                <c:pt idx="294">
                  <c:v>67600</c:v>
                </c:pt>
                <c:pt idx="295">
                  <c:v>45000</c:v>
                </c:pt>
                <c:pt idx="296">
                  <c:v>59300</c:v>
                </c:pt>
                <c:pt idx="297">
                  <c:v>117500</c:v>
                </c:pt>
                <c:pt idx="298">
                  <c:v>25500</c:v>
                </c:pt>
                <c:pt idx="299">
                  <c:v>59300</c:v>
                </c:pt>
                <c:pt idx="300">
                  <c:v>15600</c:v>
                </c:pt>
                <c:pt idx="301">
                  <c:v>9300</c:v>
                </c:pt>
                <c:pt idx="302">
                  <c:v>35200</c:v>
                </c:pt>
                <c:pt idx="303">
                  <c:v>5000</c:v>
                </c:pt>
                <c:pt idx="304">
                  <c:v>62700</c:v>
                </c:pt>
                <c:pt idx="305">
                  <c:v>64300</c:v>
                </c:pt>
                <c:pt idx="306">
                  <c:v>80700</c:v>
                </c:pt>
                <c:pt idx="307">
                  <c:v>36300</c:v>
                </c:pt>
                <c:pt idx="308">
                  <c:v>8000</c:v>
                </c:pt>
                <c:pt idx="309">
                  <c:v>5400</c:v>
                </c:pt>
                <c:pt idx="310">
                  <c:v>17700</c:v>
                </c:pt>
                <c:pt idx="311">
                  <c:v>107600</c:v>
                </c:pt>
                <c:pt idx="313">
                  <c:v>39700</c:v>
                </c:pt>
                <c:pt idx="314">
                  <c:v>5800</c:v>
                </c:pt>
                <c:pt idx="315">
                  <c:v>176400</c:v>
                </c:pt>
                <c:pt idx="316">
                  <c:v>105700</c:v>
                </c:pt>
                <c:pt idx="317">
                  <c:v>24300</c:v>
                </c:pt>
                <c:pt idx="318">
                  <c:v>17300</c:v>
                </c:pt>
                <c:pt idx="319">
                  <c:v>56600</c:v>
                </c:pt>
                <c:pt idx="320">
                  <c:v>37100</c:v>
                </c:pt>
                <c:pt idx="321">
                  <c:v>13700</c:v>
                </c:pt>
                <c:pt idx="322">
                  <c:v>14400</c:v>
                </c:pt>
                <c:pt idx="323">
                  <c:v>17300</c:v>
                </c:pt>
                <c:pt idx="324">
                  <c:v>106700</c:v>
                </c:pt>
                <c:pt idx="325">
                  <c:v>13200</c:v>
                </c:pt>
                <c:pt idx="326">
                  <c:v>52900</c:v>
                </c:pt>
                <c:pt idx="327">
                  <c:v>93600</c:v>
                </c:pt>
                <c:pt idx="328">
                  <c:v>34100</c:v>
                </c:pt>
                <c:pt idx="329">
                  <c:v>15700</c:v>
                </c:pt>
                <c:pt idx="330">
                  <c:v>17500</c:v>
                </c:pt>
                <c:pt idx="331">
                  <c:v>69000</c:v>
                </c:pt>
                <c:pt idx="332">
                  <c:v>6900</c:v>
                </c:pt>
                <c:pt idx="333">
                  <c:v>108700</c:v>
                </c:pt>
                <c:pt idx="334">
                  <c:v>227700</c:v>
                </c:pt>
                <c:pt idx="335">
                  <c:v>7100</c:v>
                </c:pt>
                <c:pt idx="336">
                  <c:v>5000</c:v>
                </c:pt>
                <c:pt idx="337">
                  <c:v>28200</c:v>
                </c:pt>
                <c:pt idx="338">
                  <c:v>31000</c:v>
                </c:pt>
                <c:pt idx="339">
                  <c:v>185600</c:v>
                </c:pt>
                <c:pt idx="340">
                  <c:v>13400</c:v>
                </c:pt>
                <c:pt idx="341">
                  <c:v>36500</c:v>
                </c:pt>
                <c:pt idx="342">
                  <c:v>36000</c:v>
                </c:pt>
                <c:pt idx="343">
                  <c:v>5000</c:v>
                </c:pt>
                <c:pt idx="345">
                  <c:v>49600</c:v>
                </c:pt>
                <c:pt idx="346">
                  <c:v>8800</c:v>
                </c:pt>
                <c:pt idx="347">
                  <c:v>8900</c:v>
                </c:pt>
                <c:pt idx="348">
                  <c:v>45700</c:v>
                </c:pt>
                <c:pt idx="349">
                  <c:v>136400</c:v>
                </c:pt>
                <c:pt idx="350">
                  <c:v>41500</c:v>
                </c:pt>
                <c:pt idx="351">
                  <c:v>99900</c:v>
                </c:pt>
                <c:pt idx="352">
                  <c:v>7800</c:v>
                </c:pt>
                <c:pt idx="353">
                  <c:v>17900</c:v>
                </c:pt>
                <c:pt idx="354">
                  <c:v>56200</c:v>
                </c:pt>
                <c:pt idx="355">
                  <c:v>35600</c:v>
                </c:pt>
                <c:pt idx="356">
                  <c:v>17300</c:v>
                </c:pt>
                <c:pt idx="357">
                  <c:v>6000</c:v>
                </c:pt>
                <c:pt idx="358">
                  <c:v>13900</c:v>
                </c:pt>
                <c:pt idx="359">
                  <c:v>23900</c:v>
                </c:pt>
                <c:pt idx="360">
                  <c:v>28600</c:v>
                </c:pt>
                <c:pt idx="361">
                  <c:v>12900</c:v>
                </c:pt>
                <c:pt idx="362">
                  <c:v>76900</c:v>
                </c:pt>
                <c:pt idx="363">
                  <c:v>17900</c:v>
                </c:pt>
                <c:pt idx="364">
                  <c:v>36300</c:v>
                </c:pt>
                <c:pt idx="365">
                  <c:v>9900</c:v>
                </c:pt>
                <c:pt idx="366">
                  <c:v>17800</c:v>
                </c:pt>
                <c:pt idx="367">
                  <c:v>32200</c:v>
                </c:pt>
                <c:pt idx="368">
                  <c:v>81100</c:v>
                </c:pt>
                <c:pt idx="369">
                  <c:v>8000</c:v>
                </c:pt>
                <c:pt idx="370">
                  <c:v>27500</c:v>
                </c:pt>
                <c:pt idx="371">
                  <c:v>158300</c:v>
                </c:pt>
                <c:pt idx="372">
                  <c:v>12700</c:v>
                </c:pt>
                <c:pt idx="373">
                  <c:v>24100</c:v>
                </c:pt>
                <c:pt idx="374">
                  <c:v>53400</c:v>
                </c:pt>
                <c:pt idx="376">
                  <c:v>11400</c:v>
                </c:pt>
                <c:pt idx="377">
                  <c:v>21300</c:v>
                </c:pt>
                <c:pt idx="378">
                  <c:v>24800</c:v>
                </c:pt>
                <c:pt idx="379">
                  <c:v>96400</c:v>
                </c:pt>
                <c:pt idx="381">
                  <c:v>18800</c:v>
                </c:pt>
                <c:pt idx="382">
                  <c:v>41700</c:v>
                </c:pt>
                <c:pt idx="383">
                  <c:v>27100</c:v>
                </c:pt>
                <c:pt idx="384">
                  <c:v>38100</c:v>
                </c:pt>
                <c:pt idx="385">
                  <c:v>73100</c:v>
                </c:pt>
                <c:pt idx="386">
                  <c:v>68500</c:v>
                </c:pt>
                <c:pt idx="387">
                  <c:v>12400</c:v>
                </c:pt>
                <c:pt idx="388">
                  <c:v>38500</c:v>
                </c:pt>
                <c:pt idx="389">
                  <c:v>25700</c:v>
                </c:pt>
                <c:pt idx="390">
                  <c:v>17000</c:v>
                </c:pt>
                <c:pt idx="391">
                  <c:v>90700</c:v>
                </c:pt>
                <c:pt idx="392">
                  <c:v>10300</c:v>
                </c:pt>
                <c:pt idx="393">
                  <c:v>31300</c:v>
                </c:pt>
                <c:pt idx="394">
                  <c:v>33300</c:v>
                </c:pt>
                <c:pt idx="395">
                  <c:v>19900</c:v>
                </c:pt>
                <c:pt idx="396">
                  <c:v>14400</c:v>
                </c:pt>
                <c:pt idx="397">
                  <c:v>11700</c:v>
                </c:pt>
                <c:pt idx="398">
                  <c:v>37200</c:v>
                </c:pt>
                <c:pt idx="399">
                  <c:v>9900</c:v>
                </c:pt>
                <c:pt idx="400">
                  <c:v>60000</c:v>
                </c:pt>
                <c:pt idx="401">
                  <c:v>57900</c:v>
                </c:pt>
                <c:pt idx="402">
                  <c:v>91800</c:v>
                </c:pt>
                <c:pt idx="403">
                  <c:v>24500</c:v>
                </c:pt>
                <c:pt idx="404">
                  <c:v>54200</c:v>
                </c:pt>
                <c:pt idx="405">
                  <c:v>66000</c:v>
                </c:pt>
                <c:pt idx="406">
                  <c:v>56200</c:v>
                </c:pt>
                <c:pt idx="407">
                  <c:v>40700</c:v>
                </c:pt>
                <c:pt idx="408">
                  <c:v>116200</c:v>
                </c:pt>
                <c:pt idx="409">
                  <c:v>58600</c:v>
                </c:pt>
                <c:pt idx="410">
                  <c:v>35000</c:v>
                </c:pt>
                <c:pt idx="411">
                  <c:v>33100</c:v>
                </c:pt>
                <c:pt idx="412">
                  <c:v>16900</c:v>
                </c:pt>
                <c:pt idx="413">
                  <c:v>53400</c:v>
                </c:pt>
                <c:pt idx="414">
                  <c:v>85900</c:v>
                </c:pt>
                <c:pt idx="415">
                  <c:v>35100</c:v>
                </c:pt>
                <c:pt idx="416">
                  <c:v>22900</c:v>
                </c:pt>
                <c:pt idx="417">
                  <c:v>73200</c:v>
                </c:pt>
                <c:pt idx="418">
                  <c:v>6200</c:v>
                </c:pt>
                <c:pt idx="419">
                  <c:v>72000</c:v>
                </c:pt>
                <c:pt idx="420">
                  <c:v>43700</c:v>
                </c:pt>
                <c:pt idx="421">
                  <c:v>58100</c:v>
                </c:pt>
                <c:pt idx="422">
                  <c:v>5000</c:v>
                </c:pt>
                <c:pt idx="423">
                  <c:v>35200</c:v>
                </c:pt>
                <c:pt idx="424">
                  <c:v>230900</c:v>
                </c:pt>
                <c:pt idx="426">
                  <c:v>6900</c:v>
                </c:pt>
                <c:pt idx="427">
                  <c:v>30100</c:v>
                </c:pt>
                <c:pt idx="428">
                  <c:v>94500</c:v>
                </c:pt>
                <c:pt idx="429">
                  <c:v>43200</c:v>
                </c:pt>
                <c:pt idx="430">
                  <c:v>32200</c:v>
                </c:pt>
                <c:pt idx="431">
                  <c:v>10500</c:v>
                </c:pt>
                <c:pt idx="432">
                  <c:v>118700</c:v>
                </c:pt>
                <c:pt idx="433">
                  <c:v>9700</c:v>
                </c:pt>
                <c:pt idx="435">
                  <c:v>71700</c:v>
                </c:pt>
                <c:pt idx="436">
                  <c:v>14500</c:v>
                </c:pt>
                <c:pt idx="437">
                  <c:v>16500</c:v>
                </c:pt>
                <c:pt idx="438">
                  <c:v>83500</c:v>
                </c:pt>
                <c:pt idx="439">
                  <c:v>52700</c:v>
                </c:pt>
                <c:pt idx="440">
                  <c:v>77100</c:v>
                </c:pt>
                <c:pt idx="441">
                  <c:v>13800</c:v>
                </c:pt>
                <c:pt idx="442">
                  <c:v>8200</c:v>
                </c:pt>
                <c:pt idx="443">
                  <c:v>31400</c:v>
                </c:pt>
                <c:pt idx="444">
                  <c:v>40700</c:v>
                </c:pt>
                <c:pt idx="445">
                  <c:v>33200</c:v>
                </c:pt>
                <c:pt idx="446">
                  <c:v>23900</c:v>
                </c:pt>
                <c:pt idx="447">
                  <c:v>10700</c:v>
                </c:pt>
                <c:pt idx="448">
                  <c:v>63500</c:v>
                </c:pt>
                <c:pt idx="449">
                  <c:v>13000</c:v>
                </c:pt>
                <c:pt idx="450">
                  <c:v>40900</c:v>
                </c:pt>
                <c:pt idx="451">
                  <c:v>149000</c:v>
                </c:pt>
                <c:pt idx="452">
                  <c:v>31700</c:v>
                </c:pt>
                <c:pt idx="453">
                  <c:v>6300</c:v>
                </c:pt>
                <c:pt idx="454">
                  <c:v>224600</c:v>
                </c:pt>
                <c:pt idx="455">
                  <c:v>12000</c:v>
                </c:pt>
                <c:pt idx="456">
                  <c:v>18000</c:v>
                </c:pt>
                <c:pt idx="457">
                  <c:v>49400</c:v>
                </c:pt>
                <c:pt idx="458">
                  <c:v>141700</c:v>
                </c:pt>
                <c:pt idx="459">
                  <c:v>55300</c:v>
                </c:pt>
                <c:pt idx="460">
                  <c:v>22800</c:v>
                </c:pt>
                <c:pt idx="461">
                  <c:v>16400</c:v>
                </c:pt>
                <c:pt idx="462">
                  <c:v>8300</c:v>
                </c:pt>
                <c:pt idx="463">
                  <c:v>40200</c:v>
                </c:pt>
                <c:pt idx="464">
                  <c:v>56000</c:v>
                </c:pt>
                <c:pt idx="465">
                  <c:v>256900</c:v>
                </c:pt>
                <c:pt idx="466">
                  <c:v>48100</c:v>
                </c:pt>
                <c:pt idx="467">
                  <c:v>158600</c:v>
                </c:pt>
                <c:pt idx="468">
                  <c:v>11400</c:v>
                </c:pt>
                <c:pt idx="469">
                  <c:v>75700</c:v>
                </c:pt>
                <c:pt idx="470">
                  <c:v>75400</c:v>
                </c:pt>
                <c:pt idx="471">
                  <c:v>28900</c:v>
                </c:pt>
                <c:pt idx="472">
                  <c:v>40700</c:v>
                </c:pt>
                <c:pt idx="473">
                  <c:v>74000</c:v>
                </c:pt>
                <c:pt idx="474">
                  <c:v>152000</c:v>
                </c:pt>
                <c:pt idx="475">
                  <c:v>47000</c:v>
                </c:pt>
                <c:pt idx="476">
                  <c:v>70300</c:v>
                </c:pt>
                <c:pt idx="478">
                  <c:v>85400</c:v>
                </c:pt>
                <c:pt idx="479">
                  <c:v>15800</c:v>
                </c:pt>
                <c:pt idx="480">
                  <c:v>5000</c:v>
                </c:pt>
                <c:pt idx="481">
                  <c:v>21200</c:v>
                </c:pt>
                <c:pt idx="482">
                  <c:v>69400</c:v>
                </c:pt>
                <c:pt idx="483">
                  <c:v>5000</c:v>
                </c:pt>
                <c:pt idx="484">
                  <c:v>84600</c:v>
                </c:pt>
                <c:pt idx="485">
                  <c:v>59200</c:v>
                </c:pt>
                <c:pt idx="486">
                  <c:v>39400</c:v>
                </c:pt>
                <c:pt idx="487">
                  <c:v>24900</c:v>
                </c:pt>
                <c:pt idx="488">
                  <c:v>97200</c:v>
                </c:pt>
                <c:pt idx="489">
                  <c:v>54100</c:v>
                </c:pt>
                <c:pt idx="490">
                  <c:v>8600</c:v>
                </c:pt>
                <c:pt idx="491">
                  <c:v>16200</c:v>
                </c:pt>
                <c:pt idx="492">
                  <c:v>114400</c:v>
                </c:pt>
                <c:pt idx="493">
                  <c:v>41500</c:v>
                </c:pt>
                <c:pt idx="494">
                  <c:v>6900</c:v>
                </c:pt>
                <c:pt idx="495">
                  <c:v>6800</c:v>
                </c:pt>
                <c:pt idx="496">
                  <c:v>194600</c:v>
                </c:pt>
                <c:pt idx="497">
                  <c:v>13700</c:v>
                </c:pt>
                <c:pt idx="499">
                  <c:v>6700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19-40D0-A8FE-C260F69BF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520079"/>
        <c:axId val="1074963567"/>
      </c:scatterChart>
      <c:valAx>
        <c:axId val="108652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4963567"/>
        <c:crosses val="autoZero"/>
        <c:crossBetween val="midCat"/>
      </c:valAx>
      <c:valAx>
        <c:axId val="107496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652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1276350</xdr:colOff>
      <xdr:row>18</xdr:row>
      <xdr:rowOff>185737</xdr:rowOff>
    </xdr:from>
    <xdr:to>
      <xdr:col>20</xdr:col>
      <xdr:colOff>457200</xdr:colOff>
      <xdr:row>33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61614B9-573D-41E3-883C-5FEC085B8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8.651487847223" createdVersion="6" refreshedVersion="6" minRefreshableVersion="3" recordCount="500" xr:uid="{8F8E783B-77C3-4C79-9156-3CCB668CBA2A}">
  <cacheSource type="worksheet">
    <worksheetSource ref="A1:F501" sheet="Вариант 1"/>
  </cacheSource>
  <cacheFields count="6">
    <cacheField name="Номер счёта" numFmtId="0">
      <sharedItems containsSemiMixedTypes="0" containsString="0" containsNumber="1" containsInteger="1" minValue="1" maxValue="500"/>
    </cacheField>
    <cacheField name="Дата" numFmtId="0">
      <sharedItems/>
    </cacheField>
    <cacheField name="Контрагент" numFmtId="0">
      <sharedItems/>
    </cacheField>
    <cacheField name="Сумма счёта" numFmtId="0">
      <sharedItems containsSemiMixedTypes="0" containsString="0" containsNumber="1" containsInteger="1" minValue="0" maxValue="500000"/>
    </cacheField>
    <cacheField name="Статус оплаты" numFmtId="0">
      <sharedItems count="3">
        <s v="Оплачен"/>
        <s v="Частично"/>
        <s v="Не оплачен"/>
      </sharedItems>
    </cacheField>
    <cacheField name="Наличие нарушений" numFmtId="0">
      <sharedItems count="2">
        <s v="Нет"/>
        <s v="Да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s v="17.01.2024"/>
    <s v="ООО «Ромашка»"/>
    <n v="84900"/>
    <x v="0"/>
    <x v="0"/>
  </r>
  <r>
    <n v="2"/>
    <s v="13.01.2024"/>
    <s v="АО «Вектор»"/>
    <n v="30700"/>
    <x v="0"/>
    <x v="0"/>
  </r>
  <r>
    <n v="3"/>
    <s v="14.08.2024"/>
    <s v="ИП Иванов И.И."/>
    <n v="12200"/>
    <x v="0"/>
    <x v="0"/>
  </r>
  <r>
    <n v="4"/>
    <s v="07.12.2024"/>
    <s v="ООО «Север»"/>
    <n v="110600"/>
    <x v="0"/>
    <x v="0"/>
  </r>
  <r>
    <n v="5"/>
    <s v="04.09.2024"/>
    <s v="ООО «Заря»"/>
    <n v="8200"/>
    <x v="0"/>
    <x v="0"/>
  </r>
  <r>
    <n v="6"/>
    <s v="10.09.2024"/>
    <s v="АО «Прогресс»"/>
    <n v="24600"/>
    <x v="0"/>
    <x v="1"/>
  </r>
  <r>
    <n v="7"/>
    <s v="07.02.2024"/>
    <s v="ООО «Кристалл»"/>
    <n v="37900"/>
    <x v="1"/>
    <x v="0"/>
  </r>
  <r>
    <n v="8"/>
    <s v="19.12.2024"/>
    <s v="ИП Петров П.П."/>
    <n v="18300"/>
    <x v="0"/>
    <x v="0"/>
  </r>
  <r>
    <n v="9"/>
    <s v="11.12.2024"/>
    <s v="ООО «Альфа»"/>
    <n v="25900"/>
    <x v="0"/>
    <x v="0"/>
  </r>
  <r>
    <n v="10"/>
    <s v="05.03.2024"/>
    <s v="ООО «Бета»"/>
    <n v="65000"/>
    <x v="0"/>
    <x v="0"/>
  </r>
  <r>
    <n v="11"/>
    <s v="15.07.2024"/>
    <s v="АО «Гамма»"/>
    <n v="38400"/>
    <x v="0"/>
    <x v="0"/>
  </r>
  <r>
    <n v="12"/>
    <s v="13.05.2024"/>
    <s v="ООО «Дельта»"/>
    <n v="263500"/>
    <x v="0"/>
    <x v="0"/>
  </r>
  <r>
    <n v="13"/>
    <s v="08.12.2024"/>
    <s v="ООО «Ромашка»"/>
    <n v="29500"/>
    <x v="0"/>
    <x v="0"/>
  </r>
  <r>
    <n v="14"/>
    <s v="15.10.2024"/>
    <s v="АО «Вектор»"/>
    <n v="33200"/>
    <x v="1"/>
    <x v="0"/>
  </r>
  <r>
    <n v="15"/>
    <s v="02.04.2024"/>
    <s v="ИП Иванов И.И."/>
    <n v="107300"/>
    <x v="0"/>
    <x v="0"/>
  </r>
  <r>
    <n v="16"/>
    <s v="26.03.2024"/>
    <s v="ООО «Север»"/>
    <n v="93600"/>
    <x v="2"/>
    <x v="0"/>
  </r>
  <r>
    <n v="17"/>
    <s v="09.01.2024"/>
    <s v="ООО «Заря»"/>
    <n v="127400"/>
    <x v="0"/>
    <x v="0"/>
  </r>
  <r>
    <n v="18"/>
    <s v="11.07.2024"/>
    <s v="АО «Прогресс»"/>
    <n v="27100"/>
    <x v="0"/>
    <x v="1"/>
  </r>
  <r>
    <n v="19"/>
    <s v="26.03.2024"/>
    <s v="ООО «Кристалл»"/>
    <n v="65300"/>
    <x v="2"/>
    <x v="0"/>
  </r>
  <r>
    <n v="20"/>
    <s v="10.03.2024"/>
    <s v="ИП Петров П.П."/>
    <n v="12800"/>
    <x v="0"/>
    <x v="0"/>
  </r>
  <r>
    <n v="21"/>
    <s v="17.03.2024"/>
    <s v="ООО «Альфа»"/>
    <n v="26300"/>
    <x v="2"/>
    <x v="1"/>
  </r>
  <r>
    <n v="22"/>
    <s v="15.04.2024"/>
    <s v="ООО «Бета»"/>
    <n v="19600"/>
    <x v="0"/>
    <x v="0"/>
  </r>
  <r>
    <n v="23"/>
    <s v="01.07.2024"/>
    <s v="АО «Гамма»"/>
    <n v="52400"/>
    <x v="2"/>
    <x v="1"/>
  </r>
  <r>
    <n v="24"/>
    <s v="08.04.2024"/>
    <s v="ООО «Дельта»"/>
    <n v="105900"/>
    <x v="0"/>
    <x v="0"/>
  </r>
  <r>
    <n v="25"/>
    <s v="31.07.2024"/>
    <s v="ООО «Ромашка»"/>
    <n v="29300"/>
    <x v="0"/>
    <x v="0"/>
  </r>
  <r>
    <n v="26"/>
    <s v="07.02.2024"/>
    <s v="АО «Вектор»"/>
    <n v="32600"/>
    <x v="2"/>
    <x v="1"/>
  </r>
  <r>
    <n v="27"/>
    <s v="11.03.2024"/>
    <s v="ИП Иванов И.И."/>
    <n v="87700"/>
    <x v="0"/>
    <x v="0"/>
  </r>
  <r>
    <n v="28"/>
    <s v="03.01.2024"/>
    <s v="ООО «Север»"/>
    <n v="19300"/>
    <x v="0"/>
    <x v="0"/>
  </r>
  <r>
    <n v="29"/>
    <s v="27.02.2024"/>
    <s v="ООО «Заря»"/>
    <n v="121400"/>
    <x v="0"/>
    <x v="0"/>
  </r>
  <r>
    <n v="30"/>
    <s v="21.07.2024"/>
    <s v="АО «Прогресс»"/>
    <n v="6200"/>
    <x v="1"/>
    <x v="0"/>
  </r>
  <r>
    <n v="31"/>
    <s v="13.04.2024"/>
    <s v="ООО «Кристалл»"/>
    <n v="27600"/>
    <x v="2"/>
    <x v="1"/>
  </r>
  <r>
    <n v="32"/>
    <s v="20.11.2024"/>
    <s v="ИП Петров П.П."/>
    <n v="36500"/>
    <x v="0"/>
    <x v="0"/>
  </r>
  <r>
    <n v="33"/>
    <s v="18.02.2024"/>
    <s v="ООО «Альфа»"/>
    <n v="29600"/>
    <x v="1"/>
    <x v="0"/>
  </r>
  <r>
    <n v="34"/>
    <s v="08.12.2024"/>
    <s v="ООО «Бета»"/>
    <n v="23200"/>
    <x v="0"/>
    <x v="0"/>
  </r>
  <r>
    <n v="35"/>
    <s v="27.10.2024"/>
    <s v="АО «Гамма»"/>
    <n v="15300"/>
    <x v="1"/>
    <x v="0"/>
  </r>
  <r>
    <n v="36"/>
    <s v="09.12.2024"/>
    <s v="ООО «Дельта»"/>
    <n v="5800"/>
    <x v="1"/>
    <x v="0"/>
  </r>
  <r>
    <n v="37"/>
    <s v="12.08.2024"/>
    <s v="ООО «Ромашка»"/>
    <n v="15600"/>
    <x v="0"/>
    <x v="0"/>
  </r>
  <r>
    <n v="38"/>
    <s v="26.01.2024"/>
    <s v="АО «Вектор»"/>
    <n v="55900"/>
    <x v="0"/>
    <x v="0"/>
  </r>
  <r>
    <n v="39"/>
    <s v="17.09.2024"/>
    <s v="ИП Иванов И.И."/>
    <n v="53400"/>
    <x v="0"/>
    <x v="0"/>
  </r>
  <r>
    <n v="40"/>
    <s v="23.04.2024"/>
    <s v="ООО «Север»"/>
    <n v="205200"/>
    <x v="2"/>
    <x v="1"/>
  </r>
  <r>
    <n v="41"/>
    <s v="12.08.2024"/>
    <s v="ООО «Заря»"/>
    <n v="70900"/>
    <x v="0"/>
    <x v="0"/>
  </r>
  <r>
    <n v="42"/>
    <s v="10.11.2024"/>
    <s v="АО «Прогресс»"/>
    <n v="170500"/>
    <x v="2"/>
    <x v="1"/>
  </r>
  <r>
    <n v="43"/>
    <s v="29.05.2024"/>
    <s v="ООО «Кристалл»"/>
    <n v="17100"/>
    <x v="0"/>
    <x v="0"/>
  </r>
  <r>
    <n v="44"/>
    <s v="05.06.2024"/>
    <s v="ИП Петров П.П."/>
    <n v="15100"/>
    <x v="1"/>
    <x v="0"/>
  </r>
  <r>
    <n v="45"/>
    <s v="06.02.2024"/>
    <s v="ООО «Альфа»"/>
    <n v="30500"/>
    <x v="0"/>
    <x v="0"/>
  </r>
  <r>
    <n v="46"/>
    <s v="05.05.2024"/>
    <s v="ООО «Бета»"/>
    <n v="55800"/>
    <x v="0"/>
    <x v="0"/>
  </r>
  <r>
    <n v="47"/>
    <s v="10.08.2024"/>
    <s v="АО «Гамма»"/>
    <n v="27900"/>
    <x v="0"/>
    <x v="0"/>
  </r>
  <r>
    <n v="48"/>
    <s v="22.08.2024"/>
    <s v="ООО «Дельта»"/>
    <n v="27900"/>
    <x v="0"/>
    <x v="0"/>
  </r>
  <r>
    <n v="49"/>
    <s v="11.03.2024"/>
    <s v="ООО «Ромашка»"/>
    <n v="92400"/>
    <x v="0"/>
    <x v="0"/>
  </r>
  <r>
    <n v="50"/>
    <s v="20.05.2024"/>
    <s v="АО «Вектор»"/>
    <n v="23900"/>
    <x v="0"/>
    <x v="0"/>
  </r>
  <r>
    <n v="51"/>
    <s v="10.09.2024"/>
    <s v="ИП Иванов И.И."/>
    <n v="158600"/>
    <x v="0"/>
    <x v="0"/>
  </r>
  <r>
    <n v="52"/>
    <s v="11.02.2024"/>
    <s v="ООО «Север»"/>
    <n v="73400"/>
    <x v="0"/>
    <x v="0"/>
  </r>
  <r>
    <n v="53"/>
    <s v="08.08.2024"/>
    <s v="ООО «Заря»"/>
    <n v="62300"/>
    <x v="2"/>
    <x v="1"/>
  </r>
  <r>
    <n v="54"/>
    <s v="17.04.2024"/>
    <s v="АО «Прогресс»"/>
    <n v="16600"/>
    <x v="0"/>
    <x v="1"/>
  </r>
  <r>
    <n v="55"/>
    <s v="28.04.2024"/>
    <s v="ООО «Кристалл»"/>
    <n v="57000"/>
    <x v="2"/>
    <x v="0"/>
  </r>
  <r>
    <n v="56"/>
    <s v="29.07.2024"/>
    <s v="ИП Петров П.П."/>
    <n v="46500"/>
    <x v="2"/>
    <x v="1"/>
  </r>
  <r>
    <n v="57"/>
    <s v="19.04.2024"/>
    <s v="ООО «Альфа»"/>
    <n v="93200"/>
    <x v="0"/>
    <x v="0"/>
  </r>
  <r>
    <n v="58"/>
    <s v="06.07.2024"/>
    <s v="ООО «Бета»"/>
    <n v="24100"/>
    <x v="0"/>
    <x v="0"/>
  </r>
  <r>
    <n v="59"/>
    <s v="19.03.2024"/>
    <s v="АО «Гамма»"/>
    <n v="108600"/>
    <x v="0"/>
    <x v="0"/>
  </r>
  <r>
    <n v="60"/>
    <s v="30.05.2024"/>
    <s v="ООО «Дельта»"/>
    <n v="5000"/>
    <x v="0"/>
    <x v="0"/>
  </r>
  <r>
    <n v="61"/>
    <s v="08.07.2024"/>
    <s v="ООО «Ромашка»"/>
    <n v="28100"/>
    <x v="1"/>
    <x v="0"/>
  </r>
  <r>
    <n v="62"/>
    <s v="11.04.2024"/>
    <s v="АО «Вектор»"/>
    <n v="190900"/>
    <x v="0"/>
    <x v="0"/>
  </r>
  <r>
    <n v="63"/>
    <s v="27.02.2024"/>
    <s v="ИП Иванов И.И."/>
    <n v="36700"/>
    <x v="2"/>
    <x v="1"/>
  </r>
  <r>
    <n v="64"/>
    <s v="20.04.2024"/>
    <s v="ООО «Север»"/>
    <n v="26400"/>
    <x v="0"/>
    <x v="0"/>
  </r>
  <r>
    <n v="65"/>
    <s v="24.10.2024"/>
    <s v="ООО «Заря»"/>
    <n v="155800"/>
    <x v="0"/>
    <x v="0"/>
  </r>
  <r>
    <n v="66"/>
    <s v="23.07.2024"/>
    <s v="АО «Прогресс»"/>
    <n v="25200"/>
    <x v="0"/>
    <x v="0"/>
  </r>
  <r>
    <n v="67"/>
    <s v="19.05.2024"/>
    <s v="ООО «Кристалл»"/>
    <n v="19800"/>
    <x v="0"/>
    <x v="0"/>
  </r>
  <r>
    <n v="68"/>
    <s v="18.06.2024"/>
    <s v="ИП Петров П.П."/>
    <n v="50900"/>
    <x v="0"/>
    <x v="0"/>
  </r>
  <r>
    <n v="69"/>
    <s v="27.09.2024"/>
    <s v="ООО «Альфа»"/>
    <n v="51800"/>
    <x v="0"/>
    <x v="0"/>
  </r>
  <r>
    <n v="70"/>
    <s v="14.08.2024"/>
    <s v="ООО «Бета»"/>
    <n v="49900"/>
    <x v="0"/>
    <x v="0"/>
  </r>
  <r>
    <n v="71"/>
    <s v="03.08.2024"/>
    <s v="АО «Гамма»"/>
    <n v="19000"/>
    <x v="0"/>
    <x v="0"/>
  </r>
  <r>
    <n v="72"/>
    <s v="15.06.2024"/>
    <s v="ООО «Дельта»"/>
    <n v="23500"/>
    <x v="0"/>
    <x v="0"/>
  </r>
  <r>
    <n v="73"/>
    <s v="12.02.2024"/>
    <s v="ООО «Ромашка»"/>
    <n v="24100"/>
    <x v="2"/>
    <x v="1"/>
  </r>
  <r>
    <n v="74"/>
    <s v="24.02.2024"/>
    <s v="АО «Вектор»"/>
    <n v="84400"/>
    <x v="0"/>
    <x v="0"/>
  </r>
  <r>
    <n v="75"/>
    <s v="15.12.2024"/>
    <s v="ИП Иванов И.И."/>
    <n v="19900"/>
    <x v="2"/>
    <x v="0"/>
  </r>
  <r>
    <n v="76"/>
    <s v="22.08.2024"/>
    <s v="ООО «Север»"/>
    <n v="30800"/>
    <x v="2"/>
    <x v="0"/>
  </r>
  <r>
    <n v="77"/>
    <s v="08.11.2024"/>
    <s v="ООО «Заря»"/>
    <n v="35200"/>
    <x v="0"/>
    <x v="0"/>
  </r>
  <r>
    <n v="78"/>
    <s v="02.04.2024"/>
    <s v="АО «Прогресс»"/>
    <n v="39100"/>
    <x v="2"/>
    <x v="1"/>
  </r>
  <r>
    <n v="79"/>
    <s v="09.11.2024"/>
    <s v="ООО «Кристалл»"/>
    <n v="43500"/>
    <x v="0"/>
    <x v="0"/>
  </r>
  <r>
    <n v="80"/>
    <s v="15.09.2024"/>
    <s v="ИП Петров П.П."/>
    <n v="39100"/>
    <x v="0"/>
    <x v="0"/>
  </r>
  <r>
    <n v="81"/>
    <s v="30.07.2024"/>
    <s v="ООО «Альфа»"/>
    <n v="68100"/>
    <x v="0"/>
    <x v="0"/>
  </r>
  <r>
    <n v="82"/>
    <s v="30.05.2024"/>
    <s v="ООО «Бета»"/>
    <n v="12200"/>
    <x v="0"/>
    <x v="0"/>
  </r>
  <r>
    <n v="83"/>
    <s v="11.10.2024"/>
    <s v="АО «Гамма»"/>
    <n v="28600"/>
    <x v="0"/>
    <x v="0"/>
  </r>
  <r>
    <n v="84"/>
    <s v="29.02.2024"/>
    <s v="ООО «Дельта»"/>
    <n v="96300"/>
    <x v="0"/>
    <x v="0"/>
  </r>
  <r>
    <n v="85"/>
    <s v="30.09.2024"/>
    <s v="ООО «Ромашка»"/>
    <n v="52700"/>
    <x v="0"/>
    <x v="0"/>
  </r>
  <r>
    <n v="86"/>
    <s v="22.06.2024"/>
    <s v="АО «Вектор»"/>
    <n v="57200"/>
    <x v="0"/>
    <x v="0"/>
  </r>
  <r>
    <n v="87"/>
    <s v="08.05.2024"/>
    <s v="ИП Иванов И.И."/>
    <n v="30900"/>
    <x v="0"/>
    <x v="0"/>
  </r>
  <r>
    <n v="88"/>
    <s v="05.10.2024"/>
    <s v="ООО «Север»"/>
    <n v="35000"/>
    <x v="0"/>
    <x v="0"/>
  </r>
  <r>
    <n v="89"/>
    <s v="04.06.2024"/>
    <s v="ООО «Заря»"/>
    <n v="47600"/>
    <x v="1"/>
    <x v="0"/>
  </r>
  <r>
    <n v="90"/>
    <s v="16.10.2024"/>
    <s v="АО «Прогресс»"/>
    <n v="156700"/>
    <x v="0"/>
    <x v="0"/>
  </r>
  <r>
    <n v="91"/>
    <s v="08.12.2024"/>
    <s v="ООО «Кристалл»"/>
    <n v="21700"/>
    <x v="0"/>
    <x v="0"/>
  </r>
  <r>
    <n v="92"/>
    <s v="22.05.2024"/>
    <s v="ИП Петров П.П."/>
    <n v="106600"/>
    <x v="0"/>
    <x v="1"/>
  </r>
  <r>
    <n v="93"/>
    <s v="10.08.2024"/>
    <s v="ООО «Альфа»"/>
    <n v="11800"/>
    <x v="0"/>
    <x v="0"/>
  </r>
  <r>
    <n v="94"/>
    <s v="18.08.2024"/>
    <s v="ООО «Бета»"/>
    <n v="21500"/>
    <x v="1"/>
    <x v="0"/>
  </r>
  <r>
    <n v="95"/>
    <s v="30.12.2024"/>
    <s v="АО «Гамма»"/>
    <n v="49500"/>
    <x v="0"/>
    <x v="0"/>
  </r>
  <r>
    <n v="96"/>
    <s v="24.01.2024"/>
    <s v="ООО «Дельта»"/>
    <n v="39100"/>
    <x v="2"/>
    <x v="1"/>
  </r>
  <r>
    <n v="97"/>
    <s v="18.05.2024"/>
    <s v="ООО «Ромашка»"/>
    <n v="17700"/>
    <x v="0"/>
    <x v="0"/>
  </r>
  <r>
    <n v="98"/>
    <s v="15.12.2024"/>
    <s v="АО «Вектор»"/>
    <n v="40500"/>
    <x v="0"/>
    <x v="0"/>
  </r>
  <r>
    <n v="99"/>
    <s v="03.12.2024"/>
    <s v="ИП Иванов И.И."/>
    <n v="129700"/>
    <x v="0"/>
    <x v="0"/>
  </r>
  <r>
    <n v="100"/>
    <s v="19.10.2024"/>
    <s v="ООО «Север»"/>
    <n v="15500"/>
    <x v="0"/>
    <x v="0"/>
  </r>
  <r>
    <n v="101"/>
    <s v="31.08.2024"/>
    <s v="ООО «Заря»"/>
    <n v="13500"/>
    <x v="2"/>
    <x v="0"/>
  </r>
  <r>
    <n v="102"/>
    <s v="06.03.2024"/>
    <s v="АО «Прогресс»"/>
    <n v="19300"/>
    <x v="0"/>
    <x v="0"/>
  </r>
  <r>
    <n v="103"/>
    <s v="15.07.2024"/>
    <s v="ООО «Кристалл»"/>
    <n v="49200"/>
    <x v="0"/>
    <x v="0"/>
  </r>
  <r>
    <n v="104"/>
    <s v="24.06.2024"/>
    <s v="ИП Петров П.П."/>
    <n v="69700"/>
    <x v="0"/>
    <x v="0"/>
  </r>
  <r>
    <n v="105"/>
    <s v="26.06.2024"/>
    <s v="ООО «Альфа»"/>
    <n v="68300"/>
    <x v="1"/>
    <x v="0"/>
  </r>
  <r>
    <n v="106"/>
    <s v="17.05.2024"/>
    <s v="ООО «Бета»"/>
    <n v="79000"/>
    <x v="2"/>
    <x v="1"/>
  </r>
  <r>
    <n v="107"/>
    <s v="08.03.2024"/>
    <s v="АО «Гамма»"/>
    <n v="99700"/>
    <x v="0"/>
    <x v="0"/>
  </r>
  <r>
    <n v="108"/>
    <s v="20.01.2024"/>
    <s v="ООО «Дельта»"/>
    <n v="20900"/>
    <x v="1"/>
    <x v="0"/>
  </r>
  <r>
    <n v="109"/>
    <s v="01.06.2024"/>
    <s v="ООО «Ромашка»"/>
    <n v="55700"/>
    <x v="2"/>
    <x v="1"/>
  </r>
  <r>
    <n v="110"/>
    <s v="15.01.2024"/>
    <s v="АО «Вектор»"/>
    <n v="221100"/>
    <x v="0"/>
    <x v="0"/>
  </r>
  <r>
    <n v="111"/>
    <s v="11.01.2024"/>
    <s v="ИП Иванов И.И."/>
    <n v="62500"/>
    <x v="1"/>
    <x v="1"/>
  </r>
  <r>
    <n v="112"/>
    <s v="08.05.2024"/>
    <s v="ООО «Север»"/>
    <n v="396200"/>
    <x v="0"/>
    <x v="0"/>
  </r>
  <r>
    <n v="113"/>
    <s v="24.01.2024"/>
    <s v="ООО «Заря»"/>
    <n v="78100"/>
    <x v="2"/>
    <x v="1"/>
  </r>
  <r>
    <n v="114"/>
    <s v="07.11.2024"/>
    <s v="АО «Прогресс»"/>
    <n v="21700"/>
    <x v="0"/>
    <x v="1"/>
  </r>
  <r>
    <n v="115"/>
    <s v="19.12.2024"/>
    <s v="ООО «Кристалл»"/>
    <n v="18600"/>
    <x v="1"/>
    <x v="0"/>
  </r>
  <r>
    <n v="116"/>
    <s v="22.10.2024"/>
    <s v="ИП Петров П.П."/>
    <n v="40400"/>
    <x v="2"/>
    <x v="0"/>
  </r>
  <r>
    <n v="117"/>
    <s v="28.04.2024"/>
    <s v="ООО «Альфа»"/>
    <n v="10700"/>
    <x v="0"/>
    <x v="1"/>
  </r>
  <r>
    <n v="118"/>
    <s v="27.01.2024"/>
    <s v="ООО «Бета»"/>
    <n v="7600"/>
    <x v="0"/>
    <x v="0"/>
  </r>
  <r>
    <n v="119"/>
    <s v="10.01.2024"/>
    <s v="АО «Гамма»"/>
    <n v="9500"/>
    <x v="0"/>
    <x v="0"/>
  </r>
  <r>
    <n v="120"/>
    <s v="21.06.2024"/>
    <s v="ООО «Дельта»"/>
    <n v="55900"/>
    <x v="1"/>
    <x v="0"/>
  </r>
  <r>
    <n v="121"/>
    <s v="14.07.2024"/>
    <s v="ООО «Ромашка»"/>
    <n v="8100"/>
    <x v="0"/>
    <x v="1"/>
  </r>
  <r>
    <n v="122"/>
    <s v="24.03.2024"/>
    <s v="АО «Вектор»"/>
    <n v="35700"/>
    <x v="2"/>
    <x v="1"/>
  </r>
  <r>
    <n v="123"/>
    <s v="14.09.2024"/>
    <s v="ИП Иванов И.И."/>
    <n v="146900"/>
    <x v="0"/>
    <x v="0"/>
  </r>
  <r>
    <n v="124"/>
    <s v="08.12.2024"/>
    <s v="ООО «Север»"/>
    <n v="13000"/>
    <x v="0"/>
    <x v="0"/>
  </r>
  <r>
    <n v="125"/>
    <s v="07.09.2024"/>
    <s v="ООО «Заря»"/>
    <n v="64300"/>
    <x v="0"/>
    <x v="0"/>
  </r>
  <r>
    <n v="126"/>
    <s v="01.04.2024"/>
    <s v="АО «Прогресс»"/>
    <n v="135000"/>
    <x v="1"/>
    <x v="0"/>
  </r>
  <r>
    <n v="127"/>
    <s v="26.06.2024"/>
    <s v="ИП Иванов И.И."/>
    <n v="500000"/>
    <x v="0"/>
    <x v="0"/>
  </r>
  <r>
    <n v="128"/>
    <s v="09.10.2024"/>
    <s v="ИП Петров П.П."/>
    <n v="11200"/>
    <x v="1"/>
    <x v="1"/>
  </r>
  <r>
    <n v="129"/>
    <s v="19.08.2024"/>
    <s v="ООО «Альфа»"/>
    <n v="19700"/>
    <x v="0"/>
    <x v="0"/>
  </r>
  <r>
    <n v="130"/>
    <s v="19.09.2024"/>
    <s v="ООО «Бета»"/>
    <n v="58900"/>
    <x v="0"/>
    <x v="0"/>
  </r>
  <r>
    <n v="131"/>
    <s v="14.11.2024"/>
    <s v="АО «Гамма»"/>
    <n v="10300"/>
    <x v="1"/>
    <x v="0"/>
  </r>
  <r>
    <n v="132"/>
    <s v="16.05.2024"/>
    <s v="ООО «Дельта»"/>
    <n v="5000"/>
    <x v="0"/>
    <x v="0"/>
  </r>
  <r>
    <n v="133"/>
    <s v="14.04.2024"/>
    <s v="ООО «Ромашка»"/>
    <n v="249500"/>
    <x v="0"/>
    <x v="0"/>
  </r>
  <r>
    <n v="134"/>
    <s v="02.05.2024"/>
    <s v="АО «Вектор»"/>
    <n v="20600"/>
    <x v="0"/>
    <x v="0"/>
  </r>
  <r>
    <n v="135"/>
    <s v="10.12.2024"/>
    <s v="ИП Иванов И.И."/>
    <n v="56700"/>
    <x v="0"/>
    <x v="0"/>
  </r>
  <r>
    <n v="136"/>
    <s v="03.08.2024"/>
    <s v="ООО «Север»"/>
    <n v="9500"/>
    <x v="1"/>
    <x v="0"/>
  </r>
  <r>
    <n v="137"/>
    <s v="04.05.2024"/>
    <s v="ООО «Заря»"/>
    <n v="28900"/>
    <x v="1"/>
    <x v="0"/>
  </r>
  <r>
    <n v="138"/>
    <s v="02.01.2024"/>
    <s v="АО «Прогресс»"/>
    <n v="103700"/>
    <x v="0"/>
    <x v="1"/>
  </r>
  <r>
    <n v="139"/>
    <s v="23.02.2024"/>
    <s v="ООО «Кристалл»"/>
    <n v="63400"/>
    <x v="0"/>
    <x v="0"/>
  </r>
  <r>
    <n v="140"/>
    <s v="24.10.2024"/>
    <s v="ИП Петров П.П."/>
    <n v="32900"/>
    <x v="0"/>
    <x v="0"/>
  </r>
  <r>
    <n v="141"/>
    <s v="29.10.2024"/>
    <s v="ООО «Альфа»"/>
    <n v="15400"/>
    <x v="0"/>
    <x v="0"/>
  </r>
  <r>
    <n v="142"/>
    <s v="07.12.2024"/>
    <s v="ООО «Бета»"/>
    <n v="231600"/>
    <x v="0"/>
    <x v="0"/>
  </r>
  <r>
    <n v="143"/>
    <s v="18.09.2024"/>
    <s v="АО «Гамма»"/>
    <n v="32700"/>
    <x v="2"/>
    <x v="1"/>
  </r>
  <r>
    <n v="144"/>
    <s v="30.05.2024"/>
    <s v="ООО «Дельта»"/>
    <n v="5400"/>
    <x v="0"/>
    <x v="0"/>
  </r>
  <r>
    <n v="145"/>
    <s v="03.06.2024"/>
    <s v="ООО «Ромашка»"/>
    <n v="94800"/>
    <x v="1"/>
    <x v="1"/>
  </r>
  <r>
    <n v="146"/>
    <s v="18.07.2024"/>
    <s v="АО «Вектор»"/>
    <n v="7500"/>
    <x v="0"/>
    <x v="0"/>
  </r>
  <r>
    <n v="147"/>
    <s v="08.08.2024"/>
    <s v="ИП Иванов И.И."/>
    <n v="29500"/>
    <x v="0"/>
    <x v="0"/>
  </r>
  <r>
    <n v="148"/>
    <s v="29.10.2024"/>
    <s v="ООО «Север»"/>
    <n v="34300"/>
    <x v="0"/>
    <x v="0"/>
  </r>
  <r>
    <n v="149"/>
    <s v="27.06.2024"/>
    <s v="ООО «Заря»"/>
    <n v="13700"/>
    <x v="0"/>
    <x v="0"/>
  </r>
  <r>
    <n v="150"/>
    <s v="07.10.2024"/>
    <s v="АО «Прогресс»"/>
    <n v="41700"/>
    <x v="0"/>
    <x v="0"/>
  </r>
  <r>
    <n v="151"/>
    <s v="09.09.2024"/>
    <s v="ООО «Кристалл»"/>
    <n v="21800"/>
    <x v="1"/>
    <x v="0"/>
  </r>
  <r>
    <n v="152"/>
    <s v="13.07.2024"/>
    <s v="ООО «Север»"/>
    <n v="420000"/>
    <x v="1"/>
    <x v="0"/>
  </r>
  <r>
    <n v="153"/>
    <s v="09.01.2024"/>
    <s v="ООО «Альфа»"/>
    <n v="79600"/>
    <x v="1"/>
    <x v="0"/>
  </r>
  <r>
    <n v="154"/>
    <s v="09.03.2024"/>
    <s v="ООО «Бета»"/>
    <n v="52800"/>
    <x v="0"/>
    <x v="1"/>
  </r>
  <r>
    <n v="155"/>
    <s v="18.08.2024"/>
    <s v="АО «Гамма»"/>
    <n v="42400"/>
    <x v="2"/>
    <x v="1"/>
  </r>
  <r>
    <n v="156"/>
    <s v="30.09.2024"/>
    <s v="ООО «Дельта»"/>
    <n v="21100"/>
    <x v="2"/>
    <x v="1"/>
  </r>
  <r>
    <n v="157"/>
    <s v="05.09.2024"/>
    <s v="ООО «Ромашка»"/>
    <n v="97400"/>
    <x v="0"/>
    <x v="0"/>
  </r>
  <r>
    <n v="158"/>
    <s v="16.08.2024"/>
    <s v="АО «Вектор»"/>
    <n v="19000"/>
    <x v="2"/>
    <x v="1"/>
  </r>
  <r>
    <n v="159"/>
    <s v="09.10.2024"/>
    <s v="ИП Иванов И.И."/>
    <n v="179600"/>
    <x v="0"/>
    <x v="1"/>
  </r>
  <r>
    <n v="160"/>
    <s v="27.08.2024"/>
    <s v="ООО «Север»"/>
    <n v="37900"/>
    <x v="1"/>
    <x v="1"/>
  </r>
  <r>
    <n v="161"/>
    <s v="05.02.2024"/>
    <s v="ООО «Заря»"/>
    <n v="243300"/>
    <x v="0"/>
    <x v="0"/>
  </r>
  <r>
    <n v="162"/>
    <s v="23.04.2024"/>
    <s v="АО «Прогресс»"/>
    <n v="29700"/>
    <x v="0"/>
    <x v="0"/>
  </r>
  <r>
    <n v="163"/>
    <s v="20.03.2024"/>
    <s v="ООО «Кристалл»"/>
    <n v="28600"/>
    <x v="0"/>
    <x v="0"/>
  </r>
  <r>
    <n v="164"/>
    <s v="30.11.2024"/>
    <s v="ИП Петров П.П."/>
    <n v="52400"/>
    <x v="0"/>
    <x v="0"/>
  </r>
  <r>
    <n v="165"/>
    <s v="26.05.2024"/>
    <s v="ООО «Альфа»"/>
    <n v="67800"/>
    <x v="0"/>
    <x v="0"/>
  </r>
  <r>
    <n v="166"/>
    <s v="27.02.2024"/>
    <s v="ООО «Бета»"/>
    <n v="139700"/>
    <x v="0"/>
    <x v="0"/>
  </r>
  <r>
    <n v="167"/>
    <s v="21.05.2024"/>
    <s v="АО «Гамма»"/>
    <n v="41600"/>
    <x v="0"/>
    <x v="0"/>
  </r>
  <r>
    <n v="168"/>
    <s v="11.11.2024"/>
    <s v="ООО «Дельта»"/>
    <n v="68100"/>
    <x v="0"/>
    <x v="0"/>
  </r>
  <r>
    <n v="169"/>
    <s v="18.02.2024"/>
    <s v="ООО «Ромашка»"/>
    <n v="62000"/>
    <x v="0"/>
    <x v="0"/>
  </r>
  <r>
    <n v="170"/>
    <s v="30.10.2024"/>
    <s v="АО «Вектор»"/>
    <n v="15500"/>
    <x v="1"/>
    <x v="0"/>
  </r>
  <r>
    <n v="171"/>
    <s v="20.12.2024"/>
    <s v="ИП Иванов И.И."/>
    <n v="53300"/>
    <x v="0"/>
    <x v="0"/>
  </r>
  <r>
    <n v="172"/>
    <s v="01.04.2024"/>
    <s v="ООО «Север»"/>
    <n v="9200"/>
    <x v="1"/>
    <x v="0"/>
  </r>
  <r>
    <n v="173"/>
    <s v="16.07.2024"/>
    <s v="ООО «Заря»"/>
    <n v="18300"/>
    <x v="1"/>
    <x v="1"/>
  </r>
  <r>
    <n v="174"/>
    <s v="26.05.2024"/>
    <s v="АО «Прогресс»"/>
    <n v="28200"/>
    <x v="0"/>
    <x v="0"/>
  </r>
  <r>
    <n v="175"/>
    <s v="13.03.2024"/>
    <s v="ООО «Кристалл»"/>
    <n v="130700"/>
    <x v="0"/>
    <x v="0"/>
  </r>
  <r>
    <n v="176"/>
    <s v="17.01.2024"/>
    <s v="ИП Петров П.П."/>
    <n v="36300"/>
    <x v="0"/>
    <x v="0"/>
  </r>
  <r>
    <n v="177"/>
    <s v="08.02.2024"/>
    <s v="ООО «Альфа»"/>
    <n v="100200"/>
    <x v="1"/>
    <x v="0"/>
  </r>
  <r>
    <n v="178"/>
    <s v="10.09.2024"/>
    <s v="ООО «Бета»"/>
    <n v="31500"/>
    <x v="2"/>
    <x v="1"/>
  </r>
  <r>
    <n v="179"/>
    <s v="13.04.2024"/>
    <s v="АО «Гамма»"/>
    <n v="75800"/>
    <x v="0"/>
    <x v="0"/>
  </r>
  <r>
    <n v="180"/>
    <s v="26.05.2024"/>
    <s v="ООО «Дельта»"/>
    <n v="9800"/>
    <x v="0"/>
    <x v="0"/>
  </r>
  <r>
    <n v="181"/>
    <s v="05.09.2024"/>
    <s v="ООО «Ромашка»"/>
    <n v="47400"/>
    <x v="0"/>
    <x v="0"/>
  </r>
  <r>
    <n v="182"/>
    <s v="21.01.2024"/>
    <s v="АО «Вектор»"/>
    <n v="21200"/>
    <x v="0"/>
    <x v="0"/>
  </r>
  <r>
    <n v="183"/>
    <s v="21.11.2024"/>
    <s v="ИП Иванов И.И."/>
    <n v="62100"/>
    <x v="2"/>
    <x v="1"/>
  </r>
  <r>
    <n v="184"/>
    <s v="10.11.2024"/>
    <s v="ООО «Север»"/>
    <n v="21400"/>
    <x v="0"/>
    <x v="0"/>
  </r>
  <r>
    <n v="185"/>
    <s v="12.10.2024"/>
    <s v="ООО «Заря»"/>
    <n v="9100"/>
    <x v="1"/>
    <x v="0"/>
  </r>
  <r>
    <n v="186"/>
    <s v="08.10.2024"/>
    <s v="АО «Прогресс»"/>
    <n v="11600"/>
    <x v="0"/>
    <x v="0"/>
  </r>
  <r>
    <n v="187"/>
    <s v="29.03.2024"/>
    <s v="ООО «Кристалл»"/>
    <n v="67100"/>
    <x v="0"/>
    <x v="0"/>
  </r>
  <r>
    <n v="188"/>
    <s v="15.05.2024"/>
    <s v="ИП Петров П.П."/>
    <n v="21500"/>
    <x v="0"/>
    <x v="0"/>
  </r>
  <r>
    <n v="189"/>
    <s v="26.10.2024"/>
    <s v="ООО «Альфа»"/>
    <n v="44500"/>
    <x v="0"/>
    <x v="0"/>
  </r>
  <r>
    <n v="190"/>
    <s v="16.03.2024"/>
    <s v="АО «Прогресс»"/>
    <n v="0"/>
    <x v="0"/>
    <x v="0"/>
  </r>
  <r>
    <n v="191"/>
    <s v="15.07.2024"/>
    <s v="АО «Гамма»"/>
    <n v="48200"/>
    <x v="0"/>
    <x v="0"/>
  </r>
  <r>
    <n v="192"/>
    <s v="05.08.2024"/>
    <s v="ООО «Дельта»"/>
    <n v="34500"/>
    <x v="0"/>
    <x v="0"/>
  </r>
  <r>
    <n v="193"/>
    <s v="21.11.2024"/>
    <s v="ООО «Ромашка»"/>
    <n v="12000"/>
    <x v="0"/>
    <x v="1"/>
  </r>
  <r>
    <n v="194"/>
    <s v="26.08.2024"/>
    <s v="АО «Вектор»"/>
    <n v="103900"/>
    <x v="2"/>
    <x v="1"/>
  </r>
  <r>
    <n v="195"/>
    <s v="13.03.2024"/>
    <s v="ИП Иванов И.И."/>
    <n v="56600"/>
    <x v="0"/>
    <x v="0"/>
  </r>
  <r>
    <n v="196"/>
    <s v="23.04.2024"/>
    <s v="ООО «Север»"/>
    <n v="11300"/>
    <x v="1"/>
    <x v="0"/>
  </r>
  <r>
    <n v="197"/>
    <s v="30.03.2024"/>
    <s v="ООО «Заря»"/>
    <n v="17700"/>
    <x v="1"/>
    <x v="0"/>
  </r>
  <r>
    <n v="198"/>
    <s v="24.11.2024"/>
    <s v="АО «Прогресс»"/>
    <n v="37800"/>
    <x v="0"/>
    <x v="0"/>
  </r>
  <r>
    <n v="199"/>
    <s v="05.03.2024"/>
    <s v="ООО «Кристалл»"/>
    <n v="284400"/>
    <x v="2"/>
    <x v="1"/>
  </r>
  <r>
    <n v="200"/>
    <s v="07.11.2024"/>
    <s v="ИП Петров П.П."/>
    <n v="34700"/>
    <x v="0"/>
    <x v="0"/>
  </r>
  <r>
    <n v="201"/>
    <s v="29.08.2024"/>
    <s v="ООО «Альфа»"/>
    <n v="16800"/>
    <x v="0"/>
    <x v="0"/>
  </r>
  <r>
    <n v="202"/>
    <s v="08.03.2024"/>
    <s v="ООО «Бета»"/>
    <n v="63700"/>
    <x v="0"/>
    <x v="0"/>
  </r>
  <r>
    <n v="203"/>
    <s v="31.10.2024"/>
    <s v="АО «Гамма»"/>
    <n v="46000"/>
    <x v="1"/>
    <x v="0"/>
  </r>
  <r>
    <n v="204"/>
    <s v="28.04.2024"/>
    <s v="ООО «Дельта»"/>
    <n v="61900"/>
    <x v="0"/>
    <x v="0"/>
  </r>
  <r>
    <n v="205"/>
    <s v="17.09.2024"/>
    <s v="ООО «Ромашка»"/>
    <n v="18600"/>
    <x v="2"/>
    <x v="1"/>
  </r>
  <r>
    <n v="206"/>
    <s v="03.08.2024"/>
    <s v="АО «Вектор»"/>
    <n v="61400"/>
    <x v="0"/>
    <x v="0"/>
  </r>
  <r>
    <n v="207"/>
    <s v="14.06.2024"/>
    <s v="ИП Иванов И.И."/>
    <n v="5000"/>
    <x v="1"/>
    <x v="1"/>
  </r>
  <r>
    <n v="208"/>
    <s v="02.01.2024"/>
    <s v="ООО «Север»"/>
    <n v="47800"/>
    <x v="0"/>
    <x v="0"/>
  </r>
  <r>
    <n v="209"/>
    <s v="01.10.2024"/>
    <s v="ООО «Заря»"/>
    <n v="11800"/>
    <x v="0"/>
    <x v="0"/>
  </r>
  <r>
    <n v="210"/>
    <s v="24.09.2024"/>
    <s v="АО «Прогресс»"/>
    <n v="9800"/>
    <x v="0"/>
    <x v="0"/>
  </r>
  <r>
    <n v="211"/>
    <s v="14.12.2024"/>
    <s v="ООО «Кристалл»"/>
    <n v="16300"/>
    <x v="0"/>
    <x v="0"/>
  </r>
  <r>
    <n v="212"/>
    <s v="06.11.2024"/>
    <s v="ИП Петров П.П."/>
    <n v="25800"/>
    <x v="1"/>
    <x v="0"/>
  </r>
  <r>
    <n v="213"/>
    <s v="11.11.2024"/>
    <s v="ООО «Альфа»"/>
    <n v="25000"/>
    <x v="2"/>
    <x v="1"/>
  </r>
  <r>
    <n v="214"/>
    <s v="19.08.2024"/>
    <s v="ООО «Бета»"/>
    <n v="52400"/>
    <x v="0"/>
    <x v="0"/>
  </r>
  <r>
    <n v="215"/>
    <s v="28.01.2024"/>
    <s v="АО «Гамма»"/>
    <n v="14200"/>
    <x v="0"/>
    <x v="0"/>
  </r>
  <r>
    <n v="216"/>
    <s v="09.01.2024"/>
    <s v="ООО «Дельта»"/>
    <n v="41200"/>
    <x v="0"/>
    <x v="0"/>
  </r>
  <r>
    <n v="217"/>
    <s v="29.11.2024"/>
    <s v="ООО «Ромашка»"/>
    <n v="21400"/>
    <x v="0"/>
    <x v="0"/>
  </r>
  <r>
    <n v="218"/>
    <s v="02.01.2024"/>
    <s v="АО «Вектор»"/>
    <n v="45100"/>
    <x v="0"/>
    <x v="0"/>
  </r>
  <r>
    <n v="219"/>
    <s v="12.02.2024"/>
    <s v="ИП Иванов И.И."/>
    <n v="77700"/>
    <x v="0"/>
    <x v="0"/>
  </r>
  <r>
    <n v="220"/>
    <s v="24.10.2024"/>
    <s v="ООО «Север»"/>
    <n v="95200"/>
    <x v="0"/>
    <x v="0"/>
  </r>
  <r>
    <n v="221"/>
    <s v="30.05.2024"/>
    <s v="ООО «Заря»"/>
    <n v="124800"/>
    <x v="0"/>
    <x v="0"/>
  </r>
  <r>
    <n v="222"/>
    <s v="11.03.2024"/>
    <s v="АО «Прогресс»"/>
    <n v="10200"/>
    <x v="2"/>
    <x v="1"/>
  </r>
  <r>
    <n v="223"/>
    <s v="10.04.2024"/>
    <s v="ООО «Кристалл»"/>
    <n v="30300"/>
    <x v="0"/>
    <x v="0"/>
  </r>
  <r>
    <n v="224"/>
    <s v="31.05.2024"/>
    <s v="ИП Петров П.П."/>
    <n v="84000"/>
    <x v="0"/>
    <x v="0"/>
  </r>
  <r>
    <n v="225"/>
    <s v="26.01.2024"/>
    <s v="ООО «Альфа»"/>
    <n v="59300"/>
    <x v="0"/>
    <x v="0"/>
  </r>
  <r>
    <n v="226"/>
    <s v="27.09.2024"/>
    <s v="ООО «Бета»"/>
    <n v="8600"/>
    <x v="0"/>
    <x v="0"/>
  </r>
  <r>
    <n v="227"/>
    <s v="24.07.2024"/>
    <s v="АО «Гамма»"/>
    <n v="6900"/>
    <x v="0"/>
    <x v="1"/>
  </r>
  <r>
    <n v="228"/>
    <s v="02.10.2024"/>
    <s v="ООО «Дельта»"/>
    <n v="58600"/>
    <x v="0"/>
    <x v="0"/>
  </r>
  <r>
    <n v="229"/>
    <s v="08.04.2024"/>
    <s v="ООО «Ромашка»"/>
    <n v="122600"/>
    <x v="0"/>
    <x v="0"/>
  </r>
  <r>
    <n v="230"/>
    <s v="28.11.2024"/>
    <s v="АО «Вектор»"/>
    <n v="14300"/>
    <x v="0"/>
    <x v="0"/>
  </r>
  <r>
    <n v="231"/>
    <s v="14.11.2024"/>
    <s v="ИП Иванов И.И."/>
    <n v="37800"/>
    <x v="0"/>
    <x v="1"/>
  </r>
  <r>
    <n v="232"/>
    <s v="06.08.2024"/>
    <s v="ООО «Север»"/>
    <n v="39500"/>
    <x v="2"/>
    <x v="1"/>
  </r>
  <r>
    <n v="233"/>
    <s v="17.10.2024"/>
    <s v="ООО «Заря»"/>
    <n v="168400"/>
    <x v="0"/>
    <x v="0"/>
  </r>
  <r>
    <n v="234"/>
    <s v="15.04.2024"/>
    <s v="АО «Прогресс»"/>
    <n v="31700"/>
    <x v="0"/>
    <x v="0"/>
  </r>
  <r>
    <n v="235"/>
    <s v="21.10.2024"/>
    <s v="ООО «Кристалл»"/>
    <n v="98600"/>
    <x v="1"/>
    <x v="0"/>
  </r>
  <r>
    <n v="236"/>
    <s v="02.08.2024"/>
    <s v="ИП Петров П.П."/>
    <n v="58500"/>
    <x v="0"/>
    <x v="0"/>
  </r>
  <r>
    <n v="237"/>
    <s v="18.04.2024"/>
    <s v="ООО «Альфа»"/>
    <n v="31900"/>
    <x v="0"/>
    <x v="1"/>
  </r>
  <r>
    <n v="238"/>
    <s v="09.01.2024"/>
    <s v="ООО «Бета»"/>
    <n v="12000"/>
    <x v="1"/>
    <x v="0"/>
  </r>
  <r>
    <n v="239"/>
    <s v="10.03.2024"/>
    <s v="АО «Гамма»"/>
    <n v="22400"/>
    <x v="2"/>
    <x v="1"/>
  </r>
  <r>
    <n v="240"/>
    <s v="29.10.2024"/>
    <s v="ООО «Дельта»"/>
    <n v="102100"/>
    <x v="1"/>
    <x v="0"/>
  </r>
  <r>
    <n v="241"/>
    <s v="01.06.2024"/>
    <s v="ООО «Ромашка»"/>
    <n v="29500"/>
    <x v="0"/>
    <x v="0"/>
  </r>
  <r>
    <n v="242"/>
    <s v="10.04.2024"/>
    <s v="АО «Вектор»"/>
    <n v="50600"/>
    <x v="1"/>
    <x v="0"/>
  </r>
  <r>
    <n v="243"/>
    <s v="14.01.2024"/>
    <s v="ИП Иванов И.И."/>
    <n v="12300"/>
    <x v="1"/>
    <x v="0"/>
  </r>
  <r>
    <n v="244"/>
    <s v="06.03.2024"/>
    <s v="ООО «Север»"/>
    <n v="5700"/>
    <x v="0"/>
    <x v="0"/>
  </r>
  <r>
    <n v="245"/>
    <s v="29.05.2024"/>
    <s v="ООО «Заря»"/>
    <n v="13400"/>
    <x v="0"/>
    <x v="1"/>
  </r>
  <r>
    <n v="246"/>
    <s v="19.12.2024"/>
    <s v="АО «Прогресс»"/>
    <n v="133000"/>
    <x v="0"/>
    <x v="0"/>
  </r>
  <r>
    <n v="247"/>
    <s v="11.06.2024"/>
    <s v="ООО «Кристалл»"/>
    <n v="52700"/>
    <x v="2"/>
    <x v="0"/>
  </r>
  <r>
    <n v="248"/>
    <s v="22.08.2024"/>
    <s v="ИП Петров П.П."/>
    <n v="16400"/>
    <x v="2"/>
    <x v="1"/>
  </r>
  <r>
    <n v="249"/>
    <s v="10.03.2024"/>
    <s v="ООО «Альфа»"/>
    <n v="8300"/>
    <x v="2"/>
    <x v="1"/>
  </r>
  <r>
    <n v="250"/>
    <s v="06.07.2024"/>
    <s v="ООО «Бета»"/>
    <n v="177100"/>
    <x v="0"/>
    <x v="0"/>
  </r>
  <r>
    <n v="251"/>
    <s v="08.11.2024"/>
    <s v="АО «Гамма»"/>
    <n v="32500"/>
    <x v="2"/>
    <x v="1"/>
  </r>
  <r>
    <n v="252"/>
    <s v="02.07.2024"/>
    <s v="ООО «Дельта»"/>
    <n v="34300"/>
    <x v="0"/>
    <x v="0"/>
  </r>
  <r>
    <n v="253"/>
    <s v="13.08.2024"/>
    <s v="ООО «Ромашка»"/>
    <n v="11900"/>
    <x v="0"/>
    <x v="0"/>
  </r>
  <r>
    <n v="254"/>
    <s v="12.12.2024"/>
    <s v="АО «Вектор»"/>
    <n v="103300"/>
    <x v="0"/>
    <x v="0"/>
  </r>
  <r>
    <n v="255"/>
    <s v="30.07.2024"/>
    <s v="ИП Иванов И.И."/>
    <n v="29900"/>
    <x v="0"/>
    <x v="0"/>
  </r>
  <r>
    <n v="256"/>
    <s v="29.02.2024"/>
    <s v="ООО «Север»"/>
    <n v="21300"/>
    <x v="0"/>
    <x v="0"/>
  </r>
  <r>
    <n v="257"/>
    <s v="25.03.2024"/>
    <s v="ООО «Заря»"/>
    <n v="7500"/>
    <x v="0"/>
    <x v="0"/>
  </r>
  <r>
    <n v="258"/>
    <s v="25.11.2024"/>
    <s v="АО «Прогресс»"/>
    <n v="48900"/>
    <x v="0"/>
    <x v="0"/>
  </r>
  <r>
    <n v="259"/>
    <s v="22.10.2024"/>
    <s v="ООО «Кристалл»"/>
    <n v="41200"/>
    <x v="0"/>
    <x v="0"/>
  </r>
  <r>
    <n v="260"/>
    <s v="25.05.2024"/>
    <s v="ИП Петров П.П."/>
    <n v="14000"/>
    <x v="0"/>
    <x v="0"/>
  </r>
  <r>
    <n v="261"/>
    <s v="21.08.2024"/>
    <s v="ООО «Альфа»"/>
    <n v="26400"/>
    <x v="0"/>
    <x v="1"/>
  </r>
  <r>
    <n v="262"/>
    <s v="11.04.2024"/>
    <s v="ООО «Бета»"/>
    <n v="10300"/>
    <x v="1"/>
    <x v="0"/>
  </r>
  <r>
    <n v="263"/>
    <s v="22.06.2024"/>
    <s v="АО «Гамма»"/>
    <n v="13600"/>
    <x v="0"/>
    <x v="0"/>
  </r>
  <r>
    <n v="264"/>
    <s v="15.05.2024"/>
    <s v="ООО «Дельта»"/>
    <n v="113100"/>
    <x v="0"/>
    <x v="0"/>
  </r>
  <r>
    <n v="265"/>
    <s v="22.11.2024"/>
    <s v="ООО «Ромашка»"/>
    <n v="9800"/>
    <x v="0"/>
    <x v="0"/>
  </r>
  <r>
    <n v="266"/>
    <s v="30.06.2024"/>
    <s v="АО «Вектор»"/>
    <n v="36100"/>
    <x v="0"/>
    <x v="0"/>
  </r>
  <r>
    <n v="267"/>
    <s v="27.11.2024"/>
    <s v="ИП Иванов И.И."/>
    <n v="60500"/>
    <x v="0"/>
    <x v="0"/>
  </r>
  <r>
    <n v="268"/>
    <s v="20.09.2024"/>
    <s v="ООО «Север»"/>
    <n v="79700"/>
    <x v="0"/>
    <x v="0"/>
  </r>
  <r>
    <n v="269"/>
    <s v="23.08.2024"/>
    <s v="ООО «Заря»"/>
    <n v="12600"/>
    <x v="0"/>
    <x v="0"/>
  </r>
  <r>
    <n v="270"/>
    <s v="16.06.2024"/>
    <s v="АО «Прогресс»"/>
    <n v="42200"/>
    <x v="0"/>
    <x v="0"/>
  </r>
  <r>
    <n v="271"/>
    <s v="30.10.2024"/>
    <s v="ООО «Кристалл»"/>
    <n v="41000"/>
    <x v="0"/>
    <x v="0"/>
  </r>
  <r>
    <n v="272"/>
    <s v="30.10.2024"/>
    <s v="ИП Петров П.П."/>
    <n v="15300"/>
    <x v="0"/>
    <x v="0"/>
  </r>
  <r>
    <n v="273"/>
    <s v="29.02.2024"/>
    <s v="ООО «Альфа»"/>
    <n v="30300"/>
    <x v="0"/>
    <x v="0"/>
  </r>
  <r>
    <n v="274"/>
    <s v="18.06.2024"/>
    <s v="ООО «Бета»"/>
    <n v="92500"/>
    <x v="0"/>
    <x v="0"/>
  </r>
  <r>
    <n v="275"/>
    <s v="14.06.2024"/>
    <s v="АО «Гамма»"/>
    <n v="54700"/>
    <x v="0"/>
    <x v="0"/>
  </r>
  <r>
    <n v="276"/>
    <s v="31.07.2024"/>
    <s v="ООО «Дельта»"/>
    <n v="54000"/>
    <x v="0"/>
    <x v="0"/>
  </r>
  <r>
    <n v="277"/>
    <s v="15.04.2024"/>
    <s v="ООО «Ромашка»"/>
    <n v="500000"/>
    <x v="0"/>
    <x v="1"/>
  </r>
  <r>
    <n v="278"/>
    <s v="24.12.2024"/>
    <s v="АО «Вектор»"/>
    <n v="30400"/>
    <x v="0"/>
    <x v="0"/>
  </r>
  <r>
    <n v="279"/>
    <s v="24.08.2024"/>
    <s v="ИП Иванов И.И."/>
    <n v="7400"/>
    <x v="0"/>
    <x v="0"/>
  </r>
  <r>
    <n v="280"/>
    <s v="13.10.2024"/>
    <s v="ООО «Север»"/>
    <n v="70300"/>
    <x v="2"/>
    <x v="1"/>
  </r>
  <r>
    <n v="281"/>
    <s v="17.12.2024"/>
    <s v="ООО «Заря»"/>
    <n v="32500"/>
    <x v="0"/>
    <x v="0"/>
  </r>
  <r>
    <n v="282"/>
    <s v="27.12.2024"/>
    <s v="АО «Прогресс»"/>
    <n v="18200"/>
    <x v="0"/>
    <x v="0"/>
  </r>
  <r>
    <n v="283"/>
    <s v="23.07.2024"/>
    <s v="ООО «Кристалл»"/>
    <n v="23100"/>
    <x v="0"/>
    <x v="0"/>
  </r>
  <r>
    <n v="284"/>
    <s v="10.05.2024"/>
    <s v="ИП Петров П.П."/>
    <n v="13600"/>
    <x v="0"/>
    <x v="1"/>
  </r>
  <r>
    <n v="285"/>
    <s v="08.09.2024"/>
    <s v="ООО «Альфа»"/>
    <n v="37500"/>
    <x v="1"/>
    <x v="0"/>
  </r>
  <r>
    <n v="286"/>
    <s v="11.08.2024"/>
    <s v="ООО «Бета»"/>
    <n v="18900"/>
    <x v="0"/>
    <x v="0"/>
  </r>
  <r>
    <n v="287"/>
    <s v="18.12.2024"/>
    <s v="АО «Гамма»"/>
    <n v="17100"/>
    <x v="0"/>
    <x v="0"/>
  </r>
  <r>
    <n v="288"/>
    <s v="14.10.2024"/>
    <s v="ООО «Дельта»"/>
    <n v="140700"/>
    <x v="1"/>
    <x v="0"/>
  </r>
  <r>
    <n v="289"/>
    <s v="24.04.2024"/>
    <s v="ООО «Ромашка»"/>
    <n v="71200"/>
    <x v="1"/>
    <x v="0"/>
  </r>
  <r>
    <n v="290"/>
    <s v="31.10.2024"/>
    <s v="АО «Вектор»"/>
    <n v="103300"/>
    <x v="1"/>
    <x v="0"/>
  </r>
  <r>
    <n v="291"/>
    <s v="02.05.2024"/>
    <s v="ИП Иванов И.И."/>
    <n v="16300"/>
    <x v="0"/>
    <x v="0"/>
  </r>
  <r>
    <n v="292"/>
    <s v="26.02.2024"/>
    <s v="ООО «Север»"/>
    <n v="15800"/>
    <x v="0"/>
    <x v="0"/>
  </r>
  <r>
    <n v="293"/>
    <s v="13.01.2024"/>
    <s v="ООО «Заря»"/>
    <n v="10900"/>
    <x v="0"/>
    <x v="1"/>
  </r>
  <r>
    <n v="294"/>
    <s v="15.10.2024"/>
    <s v="АО «Прогресс»"/>
    <n v="60600"/>
    <x v="1"/>
    <x v="0"/>
  </r>
  <r>
    <n v="295"/>
    <s v="19.10.2024"/>
    <s v="ООО «Кристалл»"/>
    <n v="67600"/>
    <x v="1"/>
    <x v="0"/>
  </r>
  <r>
    <n v="296"/>
    <s v="17.04.2024"/>
    <s v="ИП Петров П.П."/>
    <n v="45000"/>
    <x v="0"/>
    <x v="0"/>
  </r>
  <r>
    <n v="297"/>
    <s v="02.06.2024"/>
    <s v="ООО «Альфа»"/>
    <n v="59300"/>
    <x v="0"/>
    <x v="0"/>
  </r>
  <r>
    <n v="298"/>
    <s v="04.01.2024"/>
    <s v="ООО «Бета»"/>
    <n v="117500"/>
    <x v="2"/>
    <x v="0"/>
  </r>
  <r>
    <n v="299"/>
    <s v="01.06.2024"/>
    <s v="АО «Гамма»"/>
    <n v="25500"/>
    <x v="0"/>
    <x v="0"/>
  </r>
  <r>
    <n v="300"/>
    <s v="30.01.2024"/>
    <s v="ООО «Дельта»"/>
    <n v="59300"/>
    <x v="0"/>
    <x v="1"/>
  </r>
  <r>
    <n v="301"/>
    <s v="22.10.2024"/>
    <s v="ООО «Ромашка»"/>
    <n v="15600"/>
    <x v="0"/>
    <x v="0"/>
  </r>
  <r>
    <n v="302"/>
    <s v="17.05.2024"/>
    <s v="АО «Вектор»"/>
    <n v="9300"/>
    <x v="0"/>
    <x v="0"/>
  </r>
  <r>
    <n v="303"/>
    <s v="24.12.2024"/>
    <s v="ИП Иванов И.И."/>
    <n v="35200"/>
    <x v="0"/>
    <x v="0"/>
  </r>
  <r>
    <n v="304"/>
    <s v="09.05.2024"/>
    <s v="ООО «Север»"/>
    <n v="5000"/>
    <x v="1"/>
    <x v="0"/>
  </r>
  <r>
    <n v="305"/>
    <s v="04.02.2024"/>
    <s v="ООО «Заря»"/>
    <n v="62700"/>
    <x v="1"/>
    <x v="0"/>
  </r>
  <r>
    <n v="306"/>
    <s v="05.04.2024"/>
    <s v="АО «Прогресс»"/>
    <n v="64300"/>
    <x v="0"/>
    <x v="0"/>
  </r>
  <r>
    <n v="307"/>
    <s v="18.12.2024"/>
    <s v="ООО «Кристалл»"/>
    <n v="80700"/>
    <x v="0"/>
    <x v="0"/>
  </r>
  <r>
    <n v="308"/>
    <s v="13.12.2024"/>
    <s v="ИП Петров П.П."/>
    <n v="36300"/>
    <x v="0"/>
    <x v="0"/>
  </r>
  <r>
    <n v="309"/>
    <s v="26.03.2024"/>
    <s v="ООО «Альфа»"/>
    <n v="8000"/>
    <x v="0"/>
    <x v="0"/>
  </r>
  <r>
    <n v="310"/>
    <s v="26.04.2024"/>
    <s v="ООО «Бета»"/>
    <n v="5400"/>
    <x v="2"/>
    <x v="0"/>
  </r>
  <r>
    <n v="311"/>
    <s v="09.07.2024"/>
    <s v="АО «Гамма»"/>
    <n v="17700"/>
    <x v="0"/>
    <x v="0"/>
  </r>
  <r>
    <n v="312"/>
    <s v="18.06.2024"/>
    <s v="ООО «Дельта»"/>
    <n v="107600"/>
    <x v="2"/>
    <x v="1"/>
  </r>
  <r>
    <n v="313"/>
    <s v="14.08.2024"/>
    <s v="ИП Петров П.П."/>
    <n v="0"/>
    <x v="0"/>
    <x v="0"/>
  </r>
  <r>
    <n v="314"/>
    <s v="13.12.2024"/>
    <s v="АО «Вектор»"/>
    <n v="39700"/>
    <x v="2"/>
    <x v="1"/>
  </r>
  <r>
    <n v="315"/>
    <s v="05.03.2024"/>
    <s v="ИП Иванов И.И."/>
    <n v="5800"/>
    <x v="2"/>
    <x v="1"/>
  </r>
  <r>
    <n v="316"/>
    <s v="05.12.2024"/>
    <s v="ООО «Север»"/>
    <n v="176400"/>
    <x v="1"/>
    <x v="0"/>
  </r>
  <r>
    <n v="317"/>
    <s v="22.12.2024"/>
    <s v="ООО «Заря»"/>
    <n v="105700"/>
    <x v="0"/>
    <x v="0"/>
  </r>
  <r>
    <n v="318"/>
    <s v="20.06.2024"/>
    <s v="АО «Прогресс»"/>
    <n v="24300"/>
    <x v="1"/>
    <x v="0"/>
  </r>
  <r>
    <n v="319"/>
    <s v="21.10.2024"/>
    <s v="ООО «Кристалл»"/>
    <n v="17300"/>
    <x v="1"/>
    <x v="0"/>
  </r>
  <r>
    <n v="320"/>
    <s v="31.07.2024"/>
    <s v="ИП Петров П.П."/>
    <n v="56600"/>
    <x v="0"/>
    <x v="0"/>
  </r>
  <r>
    <n v="321"/>
    <s v="20.04.2024"/>
    <s v="ООО «Альфа»"/>
    <n v="37100"/>
    <x v="2"/>
    <x v="1"/>
  </r>
  <r>
    <n v="322"/>
    <s v="22.03.2024"/>
    <s v="ООО «Бета»"/>
    <n v="13700"/>
    <x v="0"/>
    <x v="0"/>
  </r>
  <r>
    <n v="323"/>
    <s v="07.07.2024"/>
    <s v="АО «Гамма»"/>
    <n v="14400"/>
    <x v="0"/>
    <x v="0"/>
  </r>
  <r>
    <n v="324"/>
    <s v="31.03.2024"/>
    <s v="ООО «Дельта»"/>
    <n v="17300"/>
    <x v="0"/>
    <x v="0"/>
  </r>
  <r>
    <n v="325"/>
    <s v="05.03.2024"/>
    <s v="ООО «Ромашка»"/>
    <n v="106700"/>
    <x v="1"/>
    <x v="0"/>
  </r>
  <r>
    <n v="326"/>
    <s v="01.02.2024"/>
    <s v="АО «Вектор»"/>
    <n v="13200"/>
    <x v="0"/>
    <x v="0"/>
  </r>
  <r>
    <n v="327"/>
    <s v="15.08.2024"/>
    <s v="ИП Иванов И.И."/>
    <n v="52900"/>
    <x v="2"/>
    <x v="0"/>
  </r>
  <r>
    <n v="328"/>
    <s v="16.03.2024"/>
    <s v="ООО «Север»"/>
    <n v="93600"/>
    <x v="0"/>
    <x v="0"/>
  </r>
  <r>
    <n v="329"/>
    <s v="30.09.2024"/>
    <s v="ООО «Заря»"/>
    <n v="34100"/>
    <x v="0"/>
    <x v="0"/>
  </r>
  <r>
    <n v="330"/>
    <s v="19.08.2024"/>
    <s v="АО «Прогресс»"/>
    <n v="15700"/>
    <x v="2"/>
    <x v="1"/>
  </r>
  <r>
    <n v="331"/>
    <s v="04.09.2024"/>
    <s v="ООО «Кристалл»"/>
    <n v="17500"/>
    <x v="1"/>
    <x v="0"/>
  </r>
  <r>
    <n v="332"/>
    <s v="17.11.2024"/>
    <s v="ИП Петров П.П."/>
    <n v="69000"/>
    <x v="0"/>
    <x v="0"/>
  </r>
  <r>
    <n v="333"/>
    <s v="02.08.2024"/>
    <s v="ООО «Альфа»"/>
    <n v="6900"/>
    <x v="0"/>
    <x v="0"/>
  </r>
  <r>
    <n v="334"/>
    <s v="29.03.2024"/>
    <s v="ООО «Бета»"/>
    <n v="108700"/>
    <x v="0"/>
    <x v="0"/>
  </r>
  <r>
    <n v="335"/>
    <s v="21.11.2024"/>
    <s v="АО «Гамма»"/>
    <n v="227700"/>
    <x v="2"/>
    <x v="1"/>
  </r>
  <r>
    <n v="336"/>
    <s v="07.10.2024"/>
    <s v="ООО «Дельта»"/>
    <n v="7100"/>
    <x v="2"/>
    <x v="0"/>
  </r>
  <r>
    <n v="337"/>
    <s v="20.10.2024"/>
    <s v="ООО «Ромашка»"/>
    <n v="5000"/>
    <x v="0"/>
    <x v="0"/>
  </r>
  <r>
    <n v="338"/>
    <s v="18.05.2024"/>
    <s v="АО «Вектор»"/>
    <n v="28200"/>
    <x v="0"/>
    <x v="0"/>
  </r>
  <r>
    <n v="339"/>
    <s v="22.06.2024"/>
    <s v="ИП Иванов И.И."/>
    <n v="31000"/>
    <x v="1"/>
    <x v="0"/>
  </r>
  <r>
    <n v="340"/>
    <s v="27.12.2024"/>
    <s v="ООО «Север»"/>
    <n v="185600"/>
    <x v="2"/>
    <x v="1"/>
  </r>
  <r>
    <n v="341"/>
    <s v="10.02.2024"/>
    <s v="ООО «Заря»"/>
    <n v="13400"/>
    <x v="0"/>
    <x v="0"/>
  </r>
  <r>
    <n v="342"/>
    <s v="15.05.2024"/>
    <s v="АО «Прогресс»"/>
    <n v="36500"/>
    <x v="0"/>
    <x v="0"/>
  </r>
  <r>
    <n v="343"/>
    <s v="27.02.2024"/>
    <s v="ООО «Кристалл»"/>
    <n v="36000"/>
    <x v="0"/>
    <x v="0"/>
  </r>
  <r>
    <n v="344"/>
    <s v="08.03.2024"/>
    <s v="ИП Петров П.П."/>
    <n v="5000"/>
    <x v="0"/>
    <x v="0"/>
  </r>
  <r>
    <n v="345"/>
    <s v="11.02.2024"/>
    <s v="ООО «Альфа»"/>
    <n v="371200"/>
    <x v="0"/>
    <x v="0"/>
  </r>
  <r>
    <n v="346"/>
    <s v="22.05.2024"/>
    <s v="ООО «Бета»"/>
    <n v="49600"/>
    <x v="0"/>
    <x v="0"/>
  </r>
  <r>
    <n v="347"/>
    <s v="29.01.2024"/>
    <s v="АО «Гамма»"/>
    <n v="8800"/>
    <x v="0"/>
    <x v="0"/>
  </r>
  <r>
    <n v="348"/>
    <s v="20.11.2024"/>
    <s v="ООО «Дельта»"/>
    <n v="8900"/>
    <x v="0"/>
    <x v="0"/>
  </r>
  <r>
    <n v="349"/>
    <s v="03.03.2024"/>
    <s v="ООО «Ромашка»"/>
    <n v="45700"/>
    <x v="2"/>
    <x v="1"/>
  </r>
  <r>
    <n v="350"/>
    <s v="25.02.2024"/>
    <s v="АО «Вектор»"/>
    <n v="136400"/>
    <x v="1"/>
    <x v="0"/>
  </r>
  <r>
    <n v="351"/>
    <s v="04.10.2024"/>
    <s v="ИП Иванов И.И."/>
    <n v="41500"/>
    <x v="0"/>
    <x v="0"/>
  </r>
  <r>
    <n v="352"/>
    <s v="13.04.2024"/>
    <s v="ООО «Север»"/>
    <n v="99900"/>
    <x v="0"/>
    <x v="0"/>
  </r>
  <r>
    <n v="353"/>
    <s v="25.12.2024"/>
    <s v="ООО «Заря»"/>
    <n v="7800"/>
    <x v="0"/>
    <x v="0"/>
  </r>
  <r>
    <n v="354"/>
    <s v="02.06.2024"/>
    <s v="АО «Прогресс»"/>
    <n v="17900"/>
    <x v="0"/>
    <x v="0"/>
  </r>
  <r>
    <n v="355"/>
    <s v="06.07.2024"/>
    <s v="ООО «Кристалл»"/>
    <n v="56200"/>
    <x v="2"/>
    <x v="1"/>
  </r>
  <r>
    <n v="356"/>
    <s v="28.06.2024"/>
    <s v="ИП Петров П.П."/>
    <n v="35600"/>
    <x v="2"/>
    <x v="0"/>
  </r>
  <r>
    <n v="357"/>
    <s v="15.07.2024"/>
    <s v="ООО «Альфа»"/>
    <n v="17300"/>
    <x v="0"/>
    <x v="0"/>
  </r>
  <r>
    <n v="358"/>
    <s v="24.01.2024"/>
    <s v="ООО «Бета»"/>
    <n v="6000"/>
    <x v="0"/>
    <x v="0"/>
  </r>
  <r>
    <n v="359"/>
    <s v="22.08.2024"/>
    <s v="АО «Гамма»"/>
    <n v="13900"/>
    <x v="0"/>
    <x v="0"/>
  </r>
  <r>
    <n v="360"/>
    <s v="29.08.2024"/>
    <s v="ООО «Дельта»"/>
    <n v="23900"/>
    <x v="0"/>
    <x v="0"/>
  </r>
  <r>
    <n v="361"/>
    <s v="30.08.2024"/>
    <s v="ООО «Ромашка»"/>
    <n v="28600"/>
    <x v="2"/>
    <x v="1"/>
  </r>
  <r>
    <n v="362"/>
    <s v="06.02.2024"/>
    <s v="АО «Вектор»"/>
    <n v="12900"/>
    <x v="0"/>
    <x v="0"/>
  </r>
  <r>
    <n v="363"/>
    <s v="20.01.2024"/>
    <s v="ИП Иванов И.И."/>
    <n v="76900"/>
    <x v="0"/>
    <x v="0"/>
  </r>
  <r>
    <n v="364"/>
    <s v="11.12.2024"/>
    <s v="ООО «Север»"/>
    <n v="17900"/>
    <x v="0"/>
    <x v="0"/>
  </r>
  <r>
    <n v="365"/>
    <s v="27.06.2024"/>
    <s v="ООО «Заря»"/>
    <n v="36300"/>
    <x v="0"/>
    <x v="0"/>
  </r>
  <r>
    <n v="366"/>
    <s v="05.08.2024"/>
    <s v="АО «Прогресс»"/>
    <n v="9900"/>
    <x v="0"/>
    <x v="0"/>
  </r>
  <r>
    <n v="367"/>
    <s v="11.02.2024"/>
    <s v="ООО «Кристалл»"/>
    <n v="17800"/>
    <x v="0"/>
    <x v="0"/>
  </r>
  <r>
    <n v="368"/>
    <s v="29.04.2024"/>
    <s v="ИП Петров П.П."/>
    <n v="32200"/>
    <x v="0"/>
    <x v="0"/>
  </r>
  <r>
    <n v="369"/>
    <s v="25.08.2024"/>
    <s v="ООО «Альфа»"/>
    <n v="81100"/>
    <x v="2"/>
    <x v="0"/>
  </r>
  <r>
    <n v="370"/>
    <s v="28.10.2024"/>
    <s v="ООО «Бета»"/>
    <n v="8000"/>
    <x v="0"/>
    <x v="0"/>
  </r>
  <r>
    <n v="371"/>
    <s v="09.05.2024"/>
    <s v="АО «Гамма»"/>
    <n v="27500"/>
    <x v="0"/>
    <x v="0"/>
  </r>
  <r>
    <n v="372"/>
    <s v="12.10.2024"/>
    <s v="ООО «Дельта»"/>
    <n v="158300"/>
    <x v="2"/>
    <x v="0"/>
  </r>
  <r>
    <n v="373"/>
    <s v="15.03.2024"/>
    <s v="ООО «Ромашка»"/>
    <n v="12700"/>
    <x v="0"/>
    <x v="0"/>
  </r>
  <r>
    <n v="374"/>
    <s v="06.04.2024"/>
    <s v="АО «Вектор»"/>
    <n v="24100"/>
    <x v="0"/>
    <x v="0"/>
  </r>
  <r>
    <n v="375"/>
    <s v="10.09.2024"/>
    <s v="ИП Иванов И.И."/>
    <n v="53400"/>
    <x v="0"/>
    <x v="0"/>
  </r>
  <r>
    <n v="376"/>
    <s v="20.01.2024"/>
    <s v="АО «Вектор»"/>
    <n v="480000"/>
    <x v="0"/>
    <x v="0"/>
  </r>
  <r>
    <n v="377"/>
    <s v="23.08.2024"/>
    <s v="ООО «Заря»"/>
    <n v="11400"/>
    <x v="0"/>
    <x v="0"/>
  </r>
  <r>
    <n v="378"/>
    <s v="21.10.2024"/>
    <s v="АО «Прогресс»"/>
    <n v="21300"/>
    <x v="0"/>
    <x v="0"/>
  </r>
  <r>
    <n v="379"/>
    <s v="08.07.2024"/>
    <s v="ООО «Кристалл»"/>
    <n v="24800"/>
    <x v="0"/>
    <x v="1"/>
  </r>
  <r>
    <n v="380"/>
    <s v="23.02.2024"/>
    <s v="ИП Петров П.П."/>
    <n v="96400"/>
    <x v="0"/>
    <x v="0"/>
  </r>
  <r>
    <n v="381"/>
    <s v="17.04.2024"/>
    <s v="ООО «Альфа»"/>
    <n v="401300"/>
    <x v="0"/>
    <x v="0"/>
  </r>
  <r>
    <n v="382"/>
    <s v="23.06.2024"/>
    <s v="ООО «Бета»"/>
    <n v="18800"/>
    <x v="1"/>
    <x v="0"/>
  </r>
  <r>
    <n v="383"/>
    <s v="21.03.2024"/>
    <s v="АО «Гамма»"/>
    <n v="41700"/>
    <x v="0"/>
    <x v="1"/>
  </r>
  <r>
    <n v="384"/>
    <s v="25.02.2024"/>
    <s v="ООО «Дельта»"/>
    <n v="27100"/>
    <x v="0"/>
    <x v="0"/>
  </r>
  <r>
    <n v="385"/>
    <s v="09.11.2024"/>
    <s v="ООО «Ромашка»"/>
    <n v="38100"/>
    <x v="0"/>
    <x v="0"/>
  </r>
  <r>
    <n v="386"/>
    <s v="14.03.2024"/>
    <s v="АО «Вектор»"/>
    <n v="73100"/>
    <x v="0"/>
    <x v="0"/>
  </r>
  <r>
    <n v="387"/>
    <s v="25.11.2024"/>
    <s v="ИП Иванов И.И."/>
    <n v="68500"/>
    <x v="0"/>
    <x v="0"/>
  </r>
  <r>
    <n v="388"/>
    <s v="16.01.2024"/>
    <s v="ООО «Север»"/>
    <n v="12400"/>
    <x v="0"/>
    <x v="0"/>
  </r>
  <r>
    <n v="389"/>
    <s v="30.03.2024"/>
    <s v="ООО «Заря»"/>
    <n v="38500"/>
    <x v="0"/>
    <x v="0"/>
  </r>
  <r>
    <n v="390"/>
    <s v="23.11.2024"/>
    <s v="АО «Прогресс»"/>
    <n v="25700"/>
    <x v="0"/>
    <x v="1"/>
  </r>
  <r>
    <n v="391"/>
    <s v="16.07.2024"/>
    <s v="ООО «Кристалл»"/>
    <n v="17000"/>
    <x v="0"/>
    <x v="0"/>
  </r>
  <r>
    <n v="392"/>
    <s v="16.06.2024"/>
    <s v="ИП Петров П.П."/>
    <n v="90700"/>
    <x v="2"/>
    <x v="1"/>
  </r>
  <r>
    <n v="393"/>
    <s v="05.09.2024"/>
    <s v="ООО «Альфа»"/>
    <n v="10300"/>
    <x v="1"/>
    <x v="0"/>
  </r>
  <r>
    <n v="394"/>
    <s v="21.04.2024"/>
    <s v="ООО «Бета»"/>
    <n v="31300"/>
    <x v="0"/>
    <x v="0"/>
  </r>
  <r>
    <n v="395"/>
    <s v="07.05.2024"/>
    <s v="АО «Гамма»"/>
    <n v="33300"/>
    <x v="0"/>
    <x v="0"/>
  </r>
  <r>
    <n v="396"/>
    <s v="30.06.2024"/>
    <s v="ООО «Дельта»"/>
    <n v="19900"/>
    <x v="0"/>
    <x v="0"/>
  </r>
  <r>
    <n v="397"/>
    <s v="09.04.2024"/>
    <s v="ООО «Ромашка»"/>
    <n v="14400"/>
    <x v="0"/>
    <x v="0"/>
  </r>
  <r>
    <n v="398"/>
    <s v="23.12.2024"/>
    <s v="АО «Вектор»"/>
    <n v="11700"/>
    <x v="0"/>
    <x v="0"/>
  </r>
  <r>
    <n v="399"/>
    <s v="23.12.2024"/>
    <s v="ИП Иванов И.И."/>
    <n v="37200"/>
    <x v="0"/>
    <x v="0"/>
  </r>
  <r>
    <n v="400"/>
    <s v="07.01.2024"/>
    <s v="ООО «Север»"/>
    <n v="9900"/>
    <x v="0"/>
    <x v="0"/>
  </r>
  <r>
    <n v="401"/>
    <s v="22.04.2024"/>
    <s v="ООО «Заря»"/>
    <n v="60000"/>
    <x v="2"/>
    <x v="1"/>
  </r>
  <r>
    <n v="402"/>
    <s v="07.10.2024"/>
    <s v="АО «Прогресс»"/>
    <n v="57900"/>
    <x v="1"/>
    <x v="1"/>
  </r>
  <r>
    <n v="403"/>
    <s v="05.06.2024"/>
    <s v="ООО «Кристалл»"/>
    <n v="91800"/>
    <x v="0"/>
    <x v="0"/>
  </r>
  <r>
    <n v="404"/>
    <s v="15.01.2024"/>
    <s v="ИП Петров П.П."/>
    <n v="24500"/>
    <x v="0"/>
    <x v="0"/>
  </r>
  <r>
    <n v="405"/>
    <s v="09.11.2024"/>
    <s v="ООО «Альфа»"/>
    <n v="54200"/>
    <x v="0"/>
    <x v="0"/>
  </r>
  <r>
    <n v="406"/>
    <s v="11.05.2024"/>
    <s v="ООО «Бета»"/>
    <n v="66000"/>
    <x v="0"/>
    <x v="0"/>
  </r>
  <r>
    <n v="407"/>
    <s v="02.08.2024"/>
    <s v="АО «Гамма»"/>
    <n v="56200"/>
    <x v="0"/>
    <x v="1"/>
  </r>
  <r>
    <n v="408"/>
    <s v="31.07.2024"/>
    <s v="ООО «Дельта»"/>
    <n v="40700"/>
    <x v="1"/>
    <x v="0"/>
  </r>
  <r>
    <n v="409"/>
    <s v="20.06.2024"/>
    <s v="ООО «Ромашка»"/>
    <n v="116200"/>
    <x v="0"/>
    <x v="0"/>
  </r>
  <r>
    <n v="410"/>
    <s v="20.01.2024"/>
    <s v="АО «Вектор»"/>
    <n v="58600"/>
    <x v="2"/>
    <x v="1"/>
  </r>
  <r>
    <n v="411"/>
    <s v="06.06.2024"/>
    <s v="ИП Иванов И.И."/>
    <n v="35000"/>
    <x v="0"/>
    <x v="0"/>
  </r>
  <r>
    <n v="412"/>
    <s v="03.01.2024"/>
    <s v="ООО «Север»"/>
    <n v="33100"/>
    <x v="1"/>
    <x v="1"/>
  </r>
  <r>
    <n v="413"/>
    <s v="02.08.2024"/>
    <s v="ООО «Заря»"/>
    <n v="16900"/>
    <x v="2"/>
    <x v="0"/>
  </r>
  <r>
    <n v="414"/>
    <s v="18.08.2024"/>
    <s v="АО «Прогресс»"/>
    <n v="53400"/>
    <x v="2"/>
    <x v="1"/>
  </r>
  <r>
    <n v="415"/>
    <s v="10.08.2024"/>
    <s v="ООО «Кристалл»"/>
    <n v="85900"/>
    <x v="0"/>
    <x v="0"/>
  </r>
  <r>
    <n v="416"/>
    <s v="23.02.2024"/>
    <s v="ИП Петров П.П."/>
    <n v="35100"/>
    <x v="1"/>
    <x v="0"/>
  </r>
  <r>
    <n v="417"/>
    <s v="20.10.2024"/>
    <s v="ООО «Альфа»"/>
    <n v="22900"/>
    <x v="0"/>
    <x v="1"/>
  </r>
  <r>
    <n v="418"/>
    <s v="19.12.2024"/>
    <s v="ООО «Бета»"/>
    <n v="73200"/>
    <x v="2"/>
    <x v="1"/>
  </r>
  <r>
    <n v="419"/>
    <s v="26.11.2024"/>
    <s v="АО «Гамма»"/>
    <n v="6200"/>
    <x v="0"/>
    <x v="0"/>
  </r>
  <r>
    <n v="420"/>
    <s v="04.03.2024"/>
    <s v="ООО «Дельта»"/>
    <n v="72000"/>
    <x v="0"/>
    <x v="0"/>
  </r>
  <r>
    <n v="421"/>
    <s v="14.10.2024"/>
    <s v="ООО «Ромашка»"/>
    <n v="43700"/>
    <x v="1"/>
    <x v="0"/>
  </r>
  <r>
    <n v="422"/>
    <s v="14.10.2024"/>
    <s v="АО «Вектор»"/>
    <n v="58100"/>
    <x v="0"/>
    <x v="0"/>
  </r>
  <r>
    <n v="423"/>
    <s v="25.07.2024"/>
    <s v="ИП Иванов И.И."/>
    <n v="5000"/>
    <x v="1"/>
    <x v="0"/>
  </r>
  <r>
    <n v="424"/>
    <s v="03.07.2024"/>
    <s v="ООО «Север»"/>
    <n v="35200"/>
    <x v="0"/>
    <x v="1"/>
  </r>
  <r>
    <n v="425"/>
    <s v="12.03.2024"/>
    <s v="ООО «Заря»"/>
    <n v="230900"/>
    <x v="0"/>
    <x v="0"/>
  </r>
  <r>
    <n v="426"/>
    <s v="17.09.2024"/>
    <s v="ООО «Кристалл»"/>
    <n v="0"/>
    <x v="0"/>
    <x v="1"/>
  </r>
  <r>
    <n v="427"/>
    <s v="29.05.2024"/>
    <s v="ООО «Кристалл»"/>
    <n v="6900"/>
    <x v="0"/>
    <x v="0"/>
  </r>
  <r>
    <n v="428"/>
    <s v="31.10.2024"/>
    <s v="ИП Петров П.П."/>
    <n v="30100"/>
    <x v="1"/>
    <x v="0"/>
  </r>
  <r>
    <n v="429"/>
    <s v="16.01.2024"/>
    <s v="ООО «Альфа»"/>
    <n v="94500"/>
    <x v="0"/>
    <x v="0"/>
  </r>
  <r>
    <n v="430"/>
    <s v="18.02.2024"/>
    <s v="ООО «Бета»"/>
    <n v="43200"/>
    <x v="2"/>
    <x v="1"/>
  </r>
  <r>
    <n v="431"/>
    <s v="14.07.2024"/>
    <s v="АО «Гамма»"/>
    <n v="32200"/>
    <x v="0"/>
    <x v="1"/>
  </r>
  <r>
    <n v="432"/>
    <s v="11.12.2024"/>
    <s v="ООО «Дельта»"/>
    <n v="10500"/>
    <x v="1"/>
    <x v="1"/>
  </r>
  <r>
    <n v="433"/>
    <s v="16.08.2024"/>
    <s v="ООО «Ромашка»"/>
    <n v="118700"/>
    <x v="0"/>
    <x v="0"/>
  </r>
  <r>
    <n v="434"/>
    <s v="28.02.2024"/>
    <s v="АО «Вектор»"/>
    <n v="9700"/>
    <x v="0"/>
    <x v="0"/>
  </r>
  <r>
    <n v="435"/>
    <s v="08.05.2024"/>
    <s v="ООО «Ромашка»"/>
    <n v="450000"/>
    <x v="0"/>
    <x v="0"/>
  </r>
  <r>
    <n v="436"/>
    <s v="27.06.2024"/>
    <s v="ООО «Север»"/>
    <n v="71700"/>
    <x v="0"/>
    <x v="0"/>
  </r>
  <r>
    <n v="437"/>
    <s v="15.05.2024"/>
    <s v="ООО «Заря»"/>
    <n v="14500"/>
    <x v="0"/>
    <x v="0"/>
  </r>
  <r>
    <n v="438"/>
    <s v="17.04.2024"/>
    <s v="АО «Прогресс»"/>
    <n v="16500"/>
    <x v="2"/>
    <x v="1"/>
  </r>
  <r>
    <n v="439"/>
    <s v="21.07.2024"/>
    <s v="ООО «Кристалл»"/>
    <n v="83500"/>
    <x v="0"/>
    <x v="0"/>
  </r>
  <r>
    <n v="440"/>
    <s v="10.05.2024"/>
    <s v="ИП Петров П.П."/>
    <n v="52700"/>
    <x v="0"/>
    <x v="0"/>
  </r>
  <r>
    <n v="441"/>
    <s v="16.04.2024"/>
    <s v="ООО «Альфа»"/>
    <n v="77100"/>
    <x v="0"/>
    <x v="0"/>
  </r>
  <r>
    <n v="442"/>
    <s v="14.06.2024"/>
    <s v="ООО «Бета»"/>
    <n v="13800"/>
    <x v="2"/>
    <x v="0"/>
  </r>
  <r>
    <n v="443"/>
    <s v="29.11.2024"/>
    <s v="АО «Гамма»"/>
    <n v="8200"/>
    <x v="0"/>
    <x v="0"/>
  </r>
  <r>
    <n v="444"/>
    <s v="30.11.2024"/>
    <s v="ООО «Дельта»"/>
    <n v="31400"/>
    <x v="2"/>
    <x v="1"/>
  </r>
  <r>
    <n v="445"/>
    <s v="29.11.2024"/>
    <s v="ООО «Ромашка»"/>
    <n v="40700"/>
    <x v="0"/>
    <x v="0"/>
  </r>
  <r>
    <n v="446"/>
    <s v="31.08.2024"/>
    <s v="АО «Вектор»"/>
    <n v="33200"/>
    <x v="0"/>
    <x v="0"/>
  </r>
  <r>
    <n v="447"/>
    <s v="01.03.2024"/>
    <s v="ИП Иванов И.И."/>
    <n v="23900"/>
    <x v="0"/>
    <x v="0"/>
  </r>
  <r>
    <n v="448"/>
    <s v="20.12.2024"/>
    <s v="ООО «Север»"/>
    <n v="10700"/>
    <x v="0"/>
    <x v="0"/>
  </r>
  <r>
    <n v="449"/>
    <s v="18.03.2024"/>
    <s v="ООО «Заря»"/>
    <n v="63500"/>
    <x v="2"/>
    <x v="1"/>
  </r>
  <r>
    <n v="450"/>
    <s v="11.01.2024"/>
    <s v="АО «Прогресс»"/>
    <n v="13000"/>
    <x v="2"/>
    <x v="0"/>
  </r>
  <r>
    <n v="451"/>
    <s v="29.09.2024"/>
    <s v="ООО «Кристалл»"/>
    <n v="40900"/>
    <x v="0"/>
    <x v="0"/>
  </r>
  <r>
    <n v="452"/>
    <s v="28.07.2024"/>
    <s v="ИП Петров П.П."/>
    <n v="149000"/>
    <x v="0"/>
    <x v="0"/>
  </r>
  <r>
    <n v="453"/>
    <s v="23.03.2024"/>
    <s v="ООО «Альфа»"/>
    <n v="31700"/>
    <x v="1"/>
    <x v="0"/>
  </r>
  <r>
    <n v="454"/>
    <s v="10.01.2024"/>
    <s v="ООО «Бета»"/>
    <n v="6300"/>
    <x v="2"/>
    <x v="0"/>
  </r>
  <r>
    <n v="455"/>
    <s v="04.01.2024"/>
    <s v="АО «Гамма»"/>
    <n v="224600"/>
    <x v="0"/>
    <x v="0"/>
  </r>
  <r>
    <n v="456"/>
    <s v="01.06.2024"/>
    <s v="ООО «Дельта»"/>
    <n v="12000"/>
    <x v="1"/>
    <x v="0"/>
  </r>
  <r>
    <n v="457"/>
    <s v="30.06.2024"/>
    <s v="ООО «Ромашка»"/>
    <n v="18000"/>
    <x v="0"/>
    <x v="0"/>
  </r>
  <r>
    <n v="458"/>
    <s v="16.05.2024"/>
    <s v="АО «Вектор»"/>
    <n v="49400"/>
    <x v="0"/>
    <x v="0"/>
  </r>
  <r>
    <n v="459"/>
    <s v="01.10.2024"/>
    <s v="ИП Иванов И.И."/>
    <n v="141700"/>
    <x v="0"/>
    <x v="0"/>
  </r>
  <r>
    <n v="460"/>
    <s v="14.02.2024"/>
    <s v="ООО «Север»"/>
    <n v="55300"/>
    <x v="0"/>
    <x v="0"/>
  </r>
  <r>
    <n v="461"/>
    <s v="16.02.2024"/>
    <s v="ООО «Заря»"/>
    <n v="22800"/>
    <x v="0"/>
    <x v="0"/>
  </r>
  <r>
    <n v="462"/>
    <s v="07.03.2024"/>
    <s v="АО «Прогресс»"/>
    <n v="16400"/>
    <x v="0"/>
    <x v="0"/>
  </r>
  <r>
    <n v="463"/>
    <s v="19.11.2024"/>
    <s v="ООО «Кристалл»"/>
    <n v="8300"/>
    <x v="0"/>
    <x v="0"/>
  </r>
  <r>
    <n v="464"/>
    <s v="29.04.2024"/>
    <s v="ИП Петров П.П."/>
    <n v="40200"/>
    <x v="0"/>
    <x v="1"/>
  </r>
  <r>
    <n v="465"/>
    <s v="31.01.2024"/>
    <s v="ООО «Альфа»"/>
    <n v="56000"/>
    <x v="0"/>
    <x v="0"/>
  </r>
  <r>
    <n v="466"/>
    <s v="17.08.2024"/>
    <s v="ООО «Бета»"/>
    <n v="256900"/>
    <x v="0"/>
    <x v="1"/>
  </r>
  <r>
    <n v="467"/>
    <s v="25.06.2024"/>
    <s v="АО «Гамма»"/>
    <n v="48100"/>
    <x v="0"/>
    <x v="1"/>
  </r>
  <r>
    <n v="468"/>
    <s v="15.04.2024"/>
    <s v="ООО «Дельта»"/>
    <n v="158600"/>
    <x v="0"/>
    <x v="0"/>
  </r>
  <r>
    <n v="469"/>
    <s v="19.01.2024"/>
    <s v="ООО «Ромашка»"/>
    <n v="11400"/>
    <x v="0"/>
    <x v="0"/>
  </r>
  <r>
    <n v="470"/>
    <s v="11.05.2024"/>
    <s v="АО «Вектор»"/>
    <n v="75700"/>
    <x v="2"/>
    <x v="1"/>
  </r>
  <r>
    <n v="471"/>
    <s v="22.09.2024"/>
    <s v="ИП Иванов И.И."/>
    <n v="75400"/>
    <x v="0"/>
    <x v="0"/>
  </r>
  <r>
    <n v="472"/>
    <s v="29.03.2024"/>
    <s v="ООО «Север»"/>
    <n v="28900"/>
    <x v="0"/>
    <x v="1"/>
  </r>
  <r>
    <n v="473"/>
    <s v="23.08.2024"/>
    <s v="ООО «Заря»"/>
    <n v="40700"/>
    <x v="1"/>
    <x v="0"/>
  </r>
  <r>
    <n v="474"/>
    <s v="19.04.2024"/>
    <s v="АО «Прогресс»"/>
    <n v="74000"/>
    <x v="0"/>
    <x v="0"/>
  </r>
  <r>
    <n v="475"/>
    <s v="30.08.2024"/>
    <s v="ООО «Кристалл»"/>
    <n v="152000"/>
    <x v="2"/>
    <x v="0"/>
  </r>
  <r>
    <n v="476"/>
    <s v="13.07.2024"/>
    <s v="ИП Петров П.П."/>
    <n v="47000"/>
    <x v="0"/>
    <x v="0"/>
  </r>
  <r>
    <n v="477"/>
    <s v="30.01.2024"/>
    <s v="ООО «Альфа»"/>
    <n v="70300"/>
    <x v="1"/>
    <x v="0"/>
  </r>
  <r>
    <n v="478"/>
    <s v="21.03.2024"/>
    <s v="ООО «Бета»"/>
    <n v="430900"/>
    <x v="0"/>
    <x v="1"/>
  </r>
  <r>
    <n v="479"/>
    <s v="02.01.2024"/>
    <s v="АО «Гамма»"/>
    <n v="85400"/>
    <x v="0"/>
    <x v="1"/>
  </r>
  <r>
    <n v="480"/>
    <s v="15.09.2024"/>
    <s v="ООО «Дельта»"/>
    <n v="15800"/>
    <x v="0"/>
    <x v="0"/>
  </r>
  <r>
    <n v="481"/>
    <s v="04.07.2024"/>
    <s v="ООО «Ромашка»"/>
    <n v="5000"/>
    <x v="0"/>
    <x v="0"/>
  </r>
  <r>
    <n v="482"/>
    <s v="27.06.2024"/>
    <s v="АО «Вектор»"/>
    <n v="21200"/>
    <x v="0"/>
    <x v="1"/>
  </r>
  <r>
    <n v="483"/>
    <s v="14.07.2024"/>
    <s v="ИП Иванов И.И."/>
    <n v="69400"/>
    <x v="0"/>
    <x v="0"/>
  </r>
  <r>
    <n v="484"/>
    <s v="13.08.2024"/>
    <s v="ООО «Север»"/>
    <n v="5000"/>
    <x v="2"/>
    <x v="1"/>
  </r>
  <r>
    <n v="485"/>
    <s v="11.07.2024"/>
    <s v="ООО «Заря»"/>
    <n v="84600"/>
    <x v="0"/>
    <x v="0"/>
  </r>
  <r>
    <n v="486"/>
    <s v="12.06.2024"/>
    <s v="АО «Прогресс»"/>
    <n v="59200"/>
    <x v="0"/>
    <x v="0"/>
  </r>
  <r>
    <n v="487"/>
    <s v="14.10.2024"/>
    <s v="ООО «Кристалл»"/>
    <n v="39400"/>
    <x v="0"/>
    <x v="0"/>
  </r>
  <r>
    <n v="488"/>
    <s v="20.05.2024"/>
    <s v="ИП Петров П.П."/>
    <n v="24900"/>
    <x v="1"/>
    <x v="0"/>
  </r>
  <r>
    <n v="489"/>
    <s v="18.06.2024"/>
    <s v="ООО «Альфа»"/>
    <n v="97200"/>
    <x v="1"/>
    <x v="0"/>
  </r>
  <r>
    <n v="490"/>
    <s v="30.12.2024"/>
    <s v="ООО «Бета»"/>
    <n v="54100"/>
    <x v="1"/>
    <x v="0"/>
  </r>
  <r>
    <n v="491"/>
    <s v="14.01.2024"/>
    <s v="АО «Гамма»"/>
    <n v="8600"/>
    <x v="0"/>
    <x v="0"/>
  </r>
  <r>
    <n v="492"/>
    <s v="29.12.2024"/>
    <s v="ООО «Дельта»"/>
    <n v="16200"/>
    <x v="1"/>
    <x v="1"/>
  </r>
  <r>
    <n v="493"/>
    <s v="27.09.2024"/>
    <s v="ООО «Ромашка»"/>
    <n v="114400"/>
    <x v="0"/>
    <x v="0"/>
  </r>
  <r>
    <n v="494"/>
    <s v="22.01.2024"/>
    <s v="АО «Вектор»"/>
    <n v="41500"/>
    <x v="0"/>
    <x v="0"/>
  </r>
  <r>
    <n v="495"/>
    <s v="10.10.2024"/>
    <s v="ИП Иванов И.И."/>
    <n v="6900"/>
    <x v="0"/>
    <x v="0"/>
  </r>
  <r>
    <n v="496"/>
    <s v="16.12.2024"/>
    <s v="ООО «Север»"/>
    <n v="6800"/>
    <x v="0"/>
    <x v="0"/>
  </r>
  <r>
    <n v="497"/>
    <s v="20.09.2024"/>
    <s v="ООО «Заря»"/>
    <n v="194600"/>
    <x v="0"/>
    <x v="0"/>
  </r>
  <r>
    <n v="498"/>
    <s v="13.12.2024"/>
    <s v="АО «Прогресс»"/>
    <n v="13700"/>
    <x v="1"/>
    <x v="0"/>
  </r>
  <r>
    <n v="499"/>
    <s v="17.11.2024"/>
    <s v="ООО «Заря»"/>
    <n v="410000"/>
    <x v="0"/>
    <x v="0"/>
  </r>
  <r>
    <n v="500"/>
    <s v="20.01.2024"/>
    <s v="ИП Петров П.П."/>
    <n v="6700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F2ACD-BE67-4795-8ED6-0386B586998D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D8" firstHeaderRow="1" firstDataRow="2" firstDataCol="1"/>
  <pivotFields count="6">
    <pivotField showAll="0"/>
    <pivotField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Количество по полю Номер счета" fld="2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AB47-4374-4DA9-9BC6-F960606E1755}">
  <dimension ref="A1:X501"/>
  <sheetViews>
    <sheetView tabSelected="1" topLeftCell="C1" workbookViewId="0">
      <selection activeCell="G27" sqref="G27"/>
    </sheetView>
  </sheetViews>
  <sheetFormatPr defaultRowHeight="15" x14ac:dyDescent="0.25"/>
  <cols>
    <col min="1" max="1" width="12.5703125" bestFit="1" customWidth="1"/>
    <col min="2" max="2" width="10.140625" bestFit="1" customWidth="1"/>
    <col min="3" max="3" width="16.5703125" bestFit="1" customWidth="1"/>
    <col min="4" max="4" width="12.5703125" bestFit="1" customWidth="1"/>
    <col min="5" max="5" width="14.140625" bestFit="1" customWidth="1"/>
    <col min="6" max="6" width="20" bestFit="1" customWidth="1"/>
    <col min="8" max="8" width="11" bestFit="1" customWidth="1"/>
    <col min="9" max="9" width="10" bestFit="1" customWidth="1"/>
    <col min="10" max="10" width="22.140625" customWidth="1"/>
    <col min="11" max="11" width="11.28515625" bestFit="1" customWidth="1"/>
    <col min="14" max="14" width="21.28515625" bestFit="1" customWidth="1"/>
    <col min="15" max="15" width="11" bestFit="1" customWidth="1"/>
    <col min="20" max="21" width="12" bestFit="1" customWidth="1"/>
    <col min="24" max="24" width="9.5703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4" x14ac:dyDescent="0.25">
      <c r="A2">
        <v>1</v>
      </c>
      <c r="B2" t="s">
        <v>6</v>
      </c>
      <c r="C2" t="s">
        <v>7</v>
      </c>
      <c r="D2">
        <v>84900</v>
      </c>
      <c r="E2" t="s">
        <v>8</v>
      </c>
      <c r="F2" t="s">
        <v>9</v>
      </c>
      <c r="G2" t="s">
        <v>496</v>
      </c>
      <c r="H2">
        <f>_xlfn.VAR.P(D2:D501)</f>
        <v>2173649336.3139086</v>
      </c>
      <c r="I2">
        <f>I7*I7</f>
        <v>62500</v>
      </c>
      <c r="J2" t="s">
        <v>495</v>
      </c>
      <c r="K2">
        <f>(H2*4*500)/(H3^2*500+H2*4)</f>
        <v>205.11352972699672</v>
      </c>
      <c r="N2" s="28" t="s">
        <v>518</v>
      </c>
      <c r="O2" s="28"/>
      <c r="P2" s="28"/>
      <c r="Q2" s="28"/>
      <c r="R2" s="28"/>
      <c r="S2" s="25"/>
      <c r="T2" s="28" t="s">
        <v>519</v>
      </c>
      <c r="U2" s="28"/>
      <c r="V2" s="28"/>
      <c r="W2" s="28"/>
      <c r="X2" s="28"/>
    </row>
    <row r="3" spans="1:24" x14ac:dyDescent="0.25">
      <c r="A3">
        <v>2</v>
      </c>
      <c r="B3" t="s">
        <v>10</v>
      </c>
      <c r="C3" t="s">
        <v>11</v>
      </c>
      <c r="D3">
        <v>30700</v>
      </c>
      <c r="E3" t="s">
        <v>8</v>
      </c>
      <c r="F3" t="s">
        <v>9</v>
      </c>
      <c r="G3" t="s">
        <v>501</v>
      </c>
      <c r="H3">
        <v>5000</v>
      </c>
      <c r="I3">
        <v>5000</v>
      </c>
      <c r="J3" s="2" t="s">
        <v>502</v>
      </c>
      <c r="K3">
        <f>(I2*4*500)/(I3*500+I2*4)</f>
        <v>45.454545454545453</v>
      </c>
      <c r="M3" t="s">
        <v>514</v>
      </c>
      <c r="N3" t="s">
        <v>500</v>
      </c>
      <c r="O3" t="s">
        <v>515</v>
      </c>
      <c r="P3" t="s">
        <v>516</v>
      </c>
      <c r="Q3" t="s">
        <v>501</v>
      </c>
      <c r="R3" t="s">
        <v>517</v>
      </c>
      <c r="S3" t="s">
        <v>514</v>
      </c>
      <c r="T3" t="s">
        <v>500</v>
      </c>
      <c r="U3" t="s">
        <v>515</v>
      </c>
      <c r="V3" t="s">
        <v>516</v>
      </c>
      <c r="W3" t="s">
        <v>501</v>
      </c>
      <c r="X3" t="s">
        <v>517</v>
      </c>
    </row>
    <row r="4" spans="1:24" x14ac:dyDescent="0.25">
      <c r="A4">
        <v>3</v>
      </c>
      <c r="B4" t="s">
        <v>12</v>
      </c>
      <c r="C4" t="s">
        <v>13</v>
      </c>
      <c r="D4">
        <v>12200</v>
      </c>
      <c r="E4" t="s">
        <v>8</v>
      </c>
      <c r="F4" t="s">
        <v>9</v>
      </c>
      <c r="G4" t="s">
        <v>497</v>
      </c>
      <c r="H4">
        <f>MAX(D2:D501)</f>
        <v>263500</v>
      </c>
      <c r="L4" t="s">
        <v>504</v>
      </c>
      <c r="M4">
        <f>AVERAGE(D2:D501)</f>
        <v>49621.399176954736</v>
      </c>
      <c r="N4">
        <f>_xlfn.STDEV.P(D2:D501)</f>
        <v>46622.412381963986</v>
      </c>
      <c r="O4" s="14">
        <f t="shared" ref="O4:O13" si="0">N4*N4</f>
        <v>2173649336.3139091</v>
      </c>
      <c r="P4" s="3">
        <f>N4/M4</f>
        <v>0.9395626313499128</v>
      </c>
      <c r="Q4" s="4">
        <v>5000</v>
      </c>
      <c r="R4">
        <f>(O4*4*500)/(Q4^2*500+O4*4)</f>
        <v>205.11352972699672</v>
      </c>
      <c r="S4">
        <v>57520</v>
      </c>
      <c r="T4" s="15">
        <f>V4*S4</f>
        <v>14955.2</v>
      </c>
      <c r="U4" s="13">
        <f>T4*T4</f>
        <v>223658007.04000002</v>
      </c>
      <c r="V4" s="9">
        <v>0.26</v>
      </c>
      <c r="W4" s="10">
        <v>1000</v>
      </c>
      <c r="X4" s="8">
        <f>(U4*4*500)/(W4^2*500+U4*4)</f>
        <v>320.74124575366591</v>
      </c>
    </row>
    <row r="5" spans="1:24" x14ac:dyDescent="0.25">
      <c r="A5">
        <v>4</v>
      </c>
      <c r="B5" t="s">
        <v>14</v>
      </c>
      <c r="C5" t="s">
        <v>15</v>
      </c>
      <c r="D5">
        <v>110600</v>
      </c>
      <c r="E5" t="s">
        <v>8</v>
      </c>
      <c r="F5" t="s">
        <v>9</v>
      </c>
      <c r="G5" t="s">
        <v>498</v>
      </c>
      <c r="H5">
        <f>MIN(D2:D501)</f>
        <v>5000</v>
      </c>
      <c r="L5" t="s">
        <v>505</v>
      </c>
      <c r="M5">
        <f>AVERAGE('Вариант 2'!$D$2:$D$501)</f>
        <v>50325.2</v>
      </c>
      <c r="N5">
        <f>_xlfn.STDEV.P('Вариант 2'!$D$2:$D$501)</f>
        <v>53329.259932611101</v>
      </c>
      <c r="O5">
        <f t="shared" si="0"/>
        <v>2844009964.9599996</v>
      </c>
      <c r="P5" s="3">
        <f t="shared" ref="P5:P13" si="1">N5/M5</f>
        <v>1.0596929556685537</v>
      </c>
      <c r="Q5" s="4">
        <v>5000</v>
      </c>
      <c r="R5">
        <f t="shared" ref="R5:R13" si="2">(O5*4*500)/(Q5^2*500+O5*4)</f>
        <v>238.23129645077233</v>
      </c>
      <c r="S5">
        <v>50325.2</v>
      </c>
      <c r="T5" s="15">
        <f t="shared" ref="T5:T13" si="3">V5*S5</f>
        <v>9058.5359999999982</v>
      </c>
      <c r="U5" s="16">
        <f t="shared" ref="U5:U13" si="4">T5*T5</f>
        <v>82057074.463295966</v>
      </c>
      <c r="V5" s="6">
        <v>0.18</v>
      </c>
      <c r="W5" s="7">
        <v>5000</v>
      </c>
      <c r="X5" s="8">
        <f t="shared" ref="X5:X13" si="5">(U5*4*500)/(W5^2*500+U5*4)</f>
        <v>12.793204573234526</v>
      </c>
    </row>
    <row r="6" spans="1:24" x14ac:dyDescent="0.25">
      <c r="A6">
        <v>5</v>
      </c>
      <c r="B6" t="s">
        <v>16</v>
      </c>
      <c r="C6" t="s">
        <v>17</v>
      </c>
      <c r="D6">
        <v>8200</v>
      </c>
      <c r="E6" t="s">
        <v>8</v>
      </c>
      <c r="F6" t="s">
        <v>9</v>
      </c>
      <c r="G6" t="s">
        <v>499</v>
      </c>
      <c r="H6">
        <f>AVERAGE(D2:D501)</f>
        <v>49621.399176954736</v>
      </c>
      <c r="L6" t="s">
        <v>506</v>
      </c>
      <c r="M6">
        <f>AVERAGE('Вариант 3'!$D$2:$D$501)</f>
        <v>55062.6</v>
      </c>
      <c r="N6">
        <f>_xlfn.STDEV.P('Вариант 3'!$D$2:$D$501)</f>
        <v>71367.760937554995</v>
      </c>
      <c r="O6">
        <f t="shared" si="0"/>
        <v>5093357301.2400007</v>
      </c>
      <c r="P6" s="3">
        <f t="shared" si="1"/>
        <v>1.2961204326994185</v>
      </c>
      <c r="Q6" s="4">
        <v>5000</v>
      </c>
      <c r="R6">
        <f t="shared" si="2"/>
        <v>309.87684731543044</v>
      </c>
      <c r="S6">
        <v>55062.6</v>
      </c>
      <c r="T6" s="15">
        <f t="shared" si="3"/>
        <v>23126.291999999998</v>
      </c>
      <c r="U6" s="17">
        <f t="shared" si="4"/>
        <v>534825381.6692639</v>
      </c>
      <c r="V6" s="11">
        <v>0.42</v>
      </c>
      <c r="W6" s="12">
        <v>5000</v>
      </c>
      <c r="X6" s="8">
        <f t="shared" si="5"/>
        <v>73.067062754962308</v>
      </c>
    </row>
    <row r="7" spans="1:24" x14ac:dyDescent="0.25">
      <c r="A7">
        <v>6</v>
      </c>
      <c r="B7" t="s">
        <v>18</v>
      </c>
      <c r="C7" t="s">
        <v>19</v>
      </c>
      <c r="D7">
        <v>24600</v>
      </c>
      <c r="E7" t="s">
        <v>8</v>
      </c>
      <c r="F7" t="s">
        <v>20</v>
      </c>
      <c r="G7" t="s">
        <v>500</v>
      </c>
      <c r="H7">
        <f>_xlfn.STDEV.P(D2:D501)</f>
        <v>46622.412381963986</v>
      </c>
      <c r="I7">
        <v>250</v>
      </c>
      <c r="L7" t="s">
        <v>507</v>
      </c>
      <c r="M7">
        <f>AVERAGE('Вариант 4'!$D$2:$D$501)</f>
        <v>60321</v>
      </c>
      <c r="N7">
        <f>_xlfn.STDEV.P('Вариант 4'!$D$2:$D$501)</f>
        <v>73393.447520878864</v>
      </c>
      <c r="O7">
        <f t="shared" si="0"/>
        <v>5386598139</v>
      </c>
      <c r="P7" s="3">
        <f t="shared" si="1"/>
        <v>1.2167147016939186</v>
      </c>
      <c r="Q7" s="4">
        <v>5000</v>
      </c>
      <c r="R7">
        <f t="shared" si="2"/>
        <v>316.42695361278265</v>
      </c>
      <c r="S7">
        <v>60321</v>
      </c>
      <c r="T7" s="15">
        <f t="shared" si="3"/>
        <v>17493.09</v>
      </c>
      <c r="U7" s="13">
        <f t="shared" si="4"/>
        <v>306008197.74809998</v>
      </c>
      <c r="V7" s="9">
        <v>0.28999999999999998</v>
      </c>
      <c r="W7" s="10">
        <v>5000</v>
      </c>
      <c r="X7" s="8">
        <f t="shared" si="5"/>
        <v>44.594501107421529</v>
      </c>
    </row>
    <row r="8" spans="1:24" x14ac:dyDescent="0.25">
      <c r="A8">
        <v>7</v>
      </c>
      <c r="B8" t="s">
        <v>21</v>
      </c>
      <c r="C8" t="s">
        <v>22</v>
      </c>
      <c r="D8">
        <v>37900</v>
      </c>
      <c r="E8" t="s">
        <v>23</v>
      </c>
      <c r="F8" t="s">
        <v>9</v>
      </c>
      <c r="L8" t="s">
        <v>508</v>
      </c>
      <c r="M8">
        <f>AVERAGE('Вариант 5'!$D$2:$D$501)</f>
        <v>56871.8</v>
      </c>
      <c r="N8">
        <f>_xlfn.STDEV.P('Вариант 5'!$D$2:$D$501)</f>
        <v>68864.36048319914</v>
      </c>
      <c r="O8">
        <f t="shared" si="0"/>
        <v>4742300144.7599993</v>
      </c>
      <c r="P8" s="3">
        <f t="shared" si="1"/>
        <v>1.2108700706360469</v>
      </c>
      <c r="Q8" s="4">
        <v>5000</v>
      </c>
      <c r="R8">
        <f t="shared" si="2"/>
        <v>301.3931118363775</v>
      </c>
      <c r="S8">
        <v>56871.8</v>
      </c>
      <c r="T8" s="15">
        <f t="shared" si="3"/>
        <v>11943.078</v>
      </c>
      <c r="U8" s="13">
        <f t="shared" si="4"/>
        <v>142637112.11408398</v>
      </c>
      <c r="V8" s="9">
        <v>0.21</v>
      </c>
      <c r="W8" s="10">
        <v>5000</v>
      </c>
      <c r="X8" s="8">
        <f t="shared" si="5"/>
        <v>21.825727156985486</v>
      </c>
    </row>
    <row r="9" spans="1:24" x14ac:dyDescent="0.25">
      <c r="A9">
        <v>8</v>
      </c>
      <c r="B9" t="s">
        <v>24</v>
      </c>
      <c r="C9" t="s">
        <v>25</v>
      </c>
      <c r="D9">
        <v>18300</v>
      </c>
      <c r="E9" t="s">
        <v>8</v>
      </c>
      <c r="F9" t="s">
        <v>9</v>
      </c>
      <c r="H9">
        <v>4500000000</v>
      </c>
      <c r="L9" t="s">
        <v>509</v>
      </c>
      <c r="M9">
        <f>AVERAGE('Вариант 6'!$D$2:$D$501)</f>
        <v>81076.2</v>
      </c>
      <c r="N9">
        <f>_xlfn.STDEV.P('Вариант 6'!$D$2:$D$501)</f>
        <v>89053.564855989913</v>
      </c>
      <c r="O9">
        <f t="shared" si="0"/>
        <v>7930537413.5600014</v>
      </c>
      <c r="P9" s="3">
        <f t="shared" si="1"/>
        <v>1.0983934231746173</v>
      </c>
      <c r="Q9" s="4">
        <v>5000</v>
      </c>
      <c r="R9">
        <f t="shared" si="2"/>
        <v>358.6681097850983</v>
      </c>
      <c r="S9">
        <v>81076.2</v>
      </c>
      <c r="T9" s="15">
        <f t="shared" si="3"/>
        <v>41348.862000000001</v>
      </c>
      <c r="U9" s="17">
        <f t="shared" si="4"/>
        <v>1709728388.695044</v>
      </c>
      <c r="V9" s="11">
        <v>0.51</v>
      </c>
      <c r="W9" s="12">
        <v>5000</v>
      </c>
      <c r="X9" s="8">
        <f t="shared" si="5"/>
        <v>176.81741881228223</v>
      </c>
    </row>
    <row r="10" spans="1:24" x14ac:dyDescent="0.25">
      <c r="A10">
        <v>9</v>
      </c>
      <c r="B10" t="s">
        <v>26</v>
      </c>
      <c r="C10" t="s">
        <v>27</v>
      </c>
      <c r="D10">
        <v>25900</v>
      </c>
      <c r="E10" t="s">
        <v>8</v>
      </c>
      <c r="F10" t="s">
        <v>9</v>
      </c>
      <c r="H10">
        <f>H2/H9</f>
        <v>0.48303318584753524</v>
      </c>
      <c r="L10" t="s">
        <v>510</v>
      </c>
      <c r="M10">
        <f>AVERAGE('Вариант 7'!$D$2:$D$501)</f>
        <v>34562.400000000001</v>
      </c>
      <c r="N10">
        <f>_xlfn.STDEV.P('Вариант 7'!$D$2:$D$501)</f>
        <v>51432.69608177273</v>
      </c>
      <c r="O10">
        <f t="shared" si="0"/>
        <v>2645322226.2399998</v>
      </c>
      <c r="P10" s="3">
        <f t="shared" si="1"/>
        <v>1.4881112446407867</v>
      </c>
      <c r="Q10" s="4">
        <v>5000</v>
      </c>
      <c r="R10">
        <f t="shared" si="2"/>
        <v>229.21789481795705</v>
      </c>
      <c r="S10">
        <v>34562.400000000001</v>
      </c>
      <c r="T10" s="15">
        <f t="shared" si="3"/>
        <v>5875.6080000000011</v>
      </c>
      <c r="U10" s="16">
        <f t="shared" si="4"/>
        <v>34522769.369664013</v>
      </c>
      <c r="V10" s="6">
        <v>0.17</v>
      </c>
      <c r="W10" s="7">
        <v>5000</v>
      </c>
      <c r="X10" s="8">
        <f t="shared" si="5"/>
        <v>5.4632885865467955</v>
      </c>
    </row>
    <row r="11" spans="1:24" x14ac:dyDescent="0.25">
      <c r="A11">
        <v>10</v>
      </c>
      <c r="B11" t="s">
        <v>28</v>
      </c>
      <c r="C11" t="s">
        <v>29</v>
      </c>
      <c r="D11">
        <v>65000</v>
      </c>
      <c r="E11" t="s">
        <v>8</v>
      </c>
      <c r="F11" t="s">
        <v>9</v>
      </c>
      <c r="L11" t="s">
        <v>511</v>
      </c>
      <c r="M11">
        <f>AVERAGE('Вариант 8'!$D$2:$D$501)</f>
        <v>56566.2</v>
      </c>
      <c r="N11">
        <f>_xlfn.STDEV.P('Вариант 8'!$D$2:$D$501)</f>
        <v>73265.767706071303</v>
      </c>
      <c r="O11">
        <f t="shared" si="0"/>
        <v>5367872717.5600004</v>
      </c>
      <c r="P11" s="3">
        <f t="shared" si="1"/>
        <v>1.295221664281343</v>
      </c>
      <c r="Q11" s="4">
        <v>5000</v>
      </c>
      <c r="R11">
        <f t="shared" si="2"/>
        <v>316.0222045045665</v>
      </c>
      <c r="S11">
        <v>56566.2</v>
      </c>
      <c r="T11" s="15">
        <f t="shared" si="3"/>
        <v>14141.55</v>
      </c>
      <c r="U11" s="13">
        <f t="shared" si="4"/>
        <v>199983436.40249997</v>
      </c>
      <c r="V11" s="9">
        <v>0.25</v>
      </c>
      <c r="W11" s="10">
        <v>5000</v>
      </c>
      <c r="X11" s="8">
        <f t="shared" si="5"/>
        <v>30.072847012265736</v>
      </c>
    </row>
    <row r="12" spans="1:24" x14ac:dyDescent="0.25">
      <c r="A12">
        <v>11</v>
      </c>
      <c r="B12" t="s">
        <v>30</v>
      </c>
      <c r="C12" t="s">
        <v>31</v>
      </c>
      <c r="D12">
        <v>38400</v>
      </c>
      <c r="E12" t="s">
        <v>8</v>
      </c>
      <c r="F12" t="s">
        <v>9</v>
      </c>
      <c r="G12" t="s">
        <v>503</v>
      </c>
      <c r="H12">
        <f>H7/H6*100</f>
        <v>93.956263134991275</v>
      </c>
      <c r="L12" t="s">
        <v>512</v>
      </c>
      <c r="M12">
        <f>AVERAGE('Вариант 9'!$D$2:$D$501)</f>
        <v>56878</v>
      </c>
      <c r="N12">
        <f>_xlfn.STDEV.P('Вариант 9'!$D$2:$D$501)</f>
        <v>70966.298733976539</v>
      </c>
      <c r="O12">
        <f t="shared" si="0"/>
        <v>5036215556</v>
      </c>
      <c r="P12" s="3">
        <f t="shared" si="1"/>
        <v>1.247693286226248</v>
      </c>
      <c r="Q12" s="4">
        <v>5000</v>
      </c>
      <c r="R12">
        <f t="shared" si="2"/>
        <v>308.54567689352672</v>
      </c>
      <c r="S12">
        <v>56878</v>
      </c>
      <c r="T12" s="15">
        <f t="shared" si="3"/>
        <v>15357.060000000001</v>
      </c>
      <c r="U12" s="13">
        <f t="shared" si="4"/>
        <v>235839291.84360003</v>
      </c>
      <c r="V12" s="9">
        <v>0.27</v>
      </c>
      <c r="W12" s="10">
        <v>5000</v>
      </c>
      <c r="X12" s="8">
        <f t="shared" si="5"/>
        <v>35.086368517524321</v>
      </c>
    </row>
    <row r="13" spans="1:24" x14ac:dyDescent="0.25">
      <c r="A13">
        <v>12</v>
      </c>
      <c r="B13" t="s">
        <v>32</v>
      </c>
      <c r="C13" t="s">
        <v>33</v>
      </c>
      <c r="D13">
        <v>263500</v>
      </c>
      <c r="E13" t="s">
        <v>8</v>
      </c>
      <c r="F13" t="s">
        <v>9</v>
      </c>
      <c r="L13" t="s">
        <v>513</v>
      </c>
      <c r="M13">
        <f>AVERAGE('Вариант 10'!$D$2:$D$501)</f>
        <v>58319.8</v>
      </c>
      <c r="N13">
        <f>_xlfn.STDEV.P('Вариант 10'!$D$2:$D$501)</f>
        <v>72627.3371944752</v>
      </c>
      <c r="O13">
        <f t="shared" si="0"/>
        <v>5274730107.960001</v>
      </c>
      <c r="P13" s="3">
        <f t="shared" si="1"/>
        <v>1.2453289825149467</v>
      </c>
      <c r="Q13" s="4">
        <v>5000</v>
      </c>
      <c r="R13">
        <f t="shared" si="2"/>
        <v>313.9821184826763</v>
      </c>
      <c r="S13">
        <v>58319.8</v>
      </c>
      <c r="T13" s="15">
        <f t="shared" si="3"/>
        <v>13413.554000000002</v>
      </c>
      <c r="U13" s="13">
        <f t="shared" si="4"/>
        <v>179923430.91091606</v>
      </c>
      <c r="V13" s="9">
        <v>0.23</v>
      </c>
      <c r="W13" s="10">
        <v>5000</v>
      </c>
      <c r="X13" s="8">
        <f t="shared" si="5"/>
        <v>27.220514283038149</v>
      </c>
    </row>
    <row r="14" spans="1:24" x14ac:dyDescent="0.25">
      <c r="A14">
        <v>13</v>
      </c>
      <c r="B14" t="s">
        <v>34</v>
      </c>
      <c r="C14" t="s">
        <v>7</v>
      </c>
      <c r="D14">
        <v>29500</v>
      </c>
      <c r="E14" t="s">
        <v>8</v>
      </c>
      <c r="F14" t="s">
        <v>9</v>
      </c>
    </row>
    <row r="15" spans="1:24" x14ac:dyDescent="0.25">
      <c r="A15">
        <v>14</v>
      </c>
      <c r="B15" t="s">
        <v>35</v>
      </c>
      <c r="C15" t="s">
        <v>11</v>
      </c>
      <c r="D15">
        <v>33200</v>
      </c>
      <c r="E15" t="s">
        <v>23</v>
      </c>
      <c r="F15" t="s">
        <v>9</v>
      </c>
      <c r="S15">
        <v>60432</v>
      </c>
      <c r="T15" s="15">
        <f>SQRT(U15)</f>
        <v>42365.979464660086</v>
      </c>
      <c r="U15" s="13">
        <v>1794876216</v>
      </c>
      <c r="V15" s="9">
        <f>T15/S15</f>
        <v>0.70105208274854525</v>
      </c>
      <c r="W15" s="10">
        <v>5000</v>
      </c>
      <c r="X15" s="13">
        <f>(U15*4*500)/(W15^2*500+U15*4)</f>
        <v>182.4107088469886</v>
      </c>
    </row>
    <row r="16" spans="1:24" x14ac:dyDescent="0.25">
      <c r="A16">
        <v>15</v>
      </c>
      <c r="B16" t="s">
        <v>36</v>
      </c>
      <c r="C16" t="s">
        <v>13</v>
      </c>
      <c r="D16">
        <v>107300</v>
      </c>
      <c r="E16" t="s">
        <v>8</v>
      </c>
      <c r="F16" t="s">
        <v>9</v>
      </c>
      <c r="H16">
        <f>H6+3*H7</f>
        <v>189488.63632284669</v>
      </c>
    </row>
    <row r="17" spans="1:11" x14ac:dyDescent="0.25">
      <c r="A17">
        <v>16</v>
      </c>
      <c r="B17" t="s">
        <v>37</v>
      </c>
      <c r="C17" t="s">
        <v>15</v>
      </c>
      <c r="D17">
        <v>93600</v>
      </c>
      <c r="E17" t="s">
        <v>38</v>
      </c>
      <c r="F17" t="s">
        <v>9</v>
      </c>
      <c r="H17">
        <f>H6-3*H7</f>
        <v>-90245.837968937238</v>
      </c>
    </row>
    <row r="18" spans="1:11" x14ac:dyDescent="0.25">
      <c r="A18">
        <v>17</v>
      </c>
      <c r="B18" t="s">
        <v>39</v>
      </c>
      <c r="C18" t="s">
        <v>17</v>
      </c>
      <c r="D18">
        <v>127400</v>
      </c>
      <c r="E18" t="s">
        <v>8</v>
      </c>
      <c r="F18" t="s">
        <v>9</v>
      </c>
      <c r="K18" s="26">
        <v>1794876216</v>
      </c>
    </row>
    <row r="19" spans="1:11" x14ac:dyDescent="0.25">
      <c r="A19">
        <v>18</v>
      </c>
      <c r="B19" t="s">
        <v>40</v>
      </c>
      <c r="C19" t="s">
        <v>19</v>
      </c>
      <c r="D19">
        <v>27100</v>
      </c>
      <c r="E19" t="s">
        <v>8</v>
      </c>
      <c r="F19" t="s">
        <v>20</v>
      </c>
      <c r="G19" s="29" t="s">
        <v>529</v>
      </c>
      <c r="H19" s="29"/>
      <c r="I19" s="29"/>
      <c r="K19" s="14"/>
    </row>
    <row r="20" spans="1:11" x14ac:dyDescent="0.25">
      <c r="A20">
        <v>19</v>
      </c>
      <c r="B20" t="s">
        <v>37</v>
      </c>
      <c r="C20" t="s">
        <v>22</v>
      </c>
      <c r="D20">
        <v>65300</v>
      </c>
      <c r="E20" t="s">
        <v>38</v>
      </c>
      <c r="F20" t="s">
        <v>9</v>
      </c>
      <c r="G20" s="29"/>
      <c r="H20" s="29"/>
      <c r="I20" s="29"/>
      <c r="K20" s="27">
        <v>1794876216</v>
      </c>
    </row>
    <row r="21" spans="1:11" x14ac:dyDescent="0.25">
      <c r="A21">
        <v>20</v>
      </c>
      <c r="B21" t="s">
        <v>41</v>
      </c>
      <c r="C21" t="s">
        <v>25</v>
      </c>
      <c r="D21">
        <v>12800</v>
      </c>
      <c r="E21" t="s">
        <v>8</v>
      </c>
      <c r="F21" t="s">
        <v>9</v>
      </c>
      <c r="G21" s="29"/>
      <c r="H21" s="29"/>
      <c r="I21" s="29"/>
      <c r="K21" s="27">
        <v>223000000</v>
      </c>
    </row>
    <row r="22" spans="1:11" x14ac:dyDescent="0.25">
      <c r="A22">
        <v>21</v>
      </c>
      <c r="B22" t="s">
        <v>42</v>
      </c>
      <c r="C22" t="s">
        <v>27</v>
      </c>
      <c r="D22">
        <v>26300</v>
      </c>
      <c r="E22" t="s">
        <v>38</v>
      </c>
      <c r="F22" t="s">
        <v>20</v>
      </c>
      <c r="G22" s="29"/>
      <c r="H22" s="29"/>
      <c r="I22" s="29"/>
      <c r="K22" s="27">
        <v>236160424</v>
      </c>
    </row>
    <row r="23" spans="1:11" x14ac:dyDescent="0.25">
      <c r="A23">
        <v>22</v>
      </c>
      <c r="B23" t="s">
        <v>43</v>
      </c>
      <c r="C23" t="s">
        <v>29</v>
      </c>
      <c r="D23">
        <v>19600</v>
      </c>
      <c r="E23" t="s">
        <v>8</v>
      </c>
      <c r="F23" t="s">
        <v>9</v>
      </c>
      <c r="G23" s="29"/>
      <c r="H23" s="29"/>
      <c r="I23" s="29"/>
    </row>
    <row r="24" spans="1:11" x14ac:dyDescent="0.25">
      <c r="A24">
        <v>23</v>
      </c>
      <c r="B24" t="s">
        <v>44</v>
      </c>
      <c r="C24" t="s">
        <v>31</v>
      </c>
      <c r="D24">
        <v>52400</v>
      </c>
      <c r="E24" t="s">
        <v>38</v>
      </c>
      <c r="F24" t="s">
        <v>20</v>
      </c>
    </row>
    <row r="25" spans="1:11" x14ac:dyDescent="0.25">
      <c r="A25">
        <v>24</v>
      </c>
      <c r="B25" t="s">
        <v>45</v>
      </c>
      <c r="C25" t="s">
        <v>33</v>
      </c>
      <c r="D25">
        <v>105900</v>
      </c>
      <c r="E25" t="s">
        <v>8</v>
      </c>
      <c r="F25" t="s">
        <v>9</v>
      </c>
    </row>
    <row r="26" spans="1:11" x14ac:dyDescent="0.25">
      <c r="A26">
        <v>25</v>
      </c>
      <c r="B26" t="s">
        <v>46</v>
      </c>
      <c r="C26" t="s">
        <v>7</v>
      </c>
      <c r="D26">
        <v>29300</v>
      </c>
      <c r="E26" t="s">
        <v>8</v>
      </c>
      <c r="F26" t="s">
        <v>9</v>
      </c>
    </row>
    <row r="27" spans="1:11" x14ac:dyDescent="0.25">
      <c r="A27">
        <v>26</v>
      </c>
      <c r="B27" t="s">
        <v>21</v>
      </c>
      <c r="C27" t="s">
        <v>11</v>
      </c>
      <c r="D27">
        <v>32600</v>
      </c>
      <c r="E27" t="s">
        <v>38</v>
      </c>
      <c r="F27" t="s">
        <v>20</v>
      </c>
    </row>
    <row r="28" spans="1:11" x14ac:dyDescent="0.25">
      <c r="A28">
        <v>27</v>
      </c>
      <c r="B28" t="s">
        <v>47</v>
      </c>
      <c r="C28" t="s">
        <v>13</v>
      </c>
      <c r="D28">
        <v>87700</v>
      </c>
      <c r="E28" t="s">
        <v>8</v>
      </c>
      <c r="F28" t="s">
        <v>9</v>
      </c>
    </row>
    <row r="29" spans="1:11" x14ac:dyDescent="0.25">
      <c r="A29">
        <v>28</v>
      </c>
      <c r="B29" t="s">
        <v>48</v>
      </c>
      <c r="C29" t="s">
        <v>15</v>
      </c>
      <c r="D29">
        <v>19300</v>
      </c>
      <c r="E29" t="s">
        <v>8</v>
      </c>
      <c r="F29" t="s">
        <v>9</v>
      </c>
    </row>
    <row r="30" spans="1:11" x14ac:dyDescent="0.25">
      <c r="A30">
        <v>29</v>
      </c>
      <c r="B30" t="s">
        <v>49</v>
      </c>
      <c r="C30" t="s">
        <v>17</v>
      </c>
      <c r="D30">
        <v>121400</v>
      </c>
      <c r="E30" t="s">
        <v>8</v>
      </c>
      <c r="F30" t="s">
        <v>9</v>
      </c>
    </row>
    <row r="31" spans="1:11" x14ac:dyDescent="0.25">
      <c r="A31">
        <v>30</v>
      </c>
      <c r="B31" t="s">
        <v>50</v>
      </c>
      <c r="C31" t="s">
        <v>19</v>
      </c>
      <c r="D31">
        <v>6200</v>
      </c>
      <c r="E31" t="s">
        <v>23</v>
      </c>
      <c r="F31" t="s">
        <v>9</v>
      </c>
    </row>
    <row r="32" spans="1:11" x14ac:dyDescent="0.25">
      <c r="A32">
        <v>31</v>
      </c>
      <c r="B32" t="s">
        <v>51</v>
      </c>
      <c r="C32" t="s">
        <v>22</v>
      </c>
      <c r="D32">
        <v>27600</v>
      </c>
      <c r="E32" t="s">
        <v>38</v>
      </c>
      <c r="F32" t="s">
        <v>20</v>
      </c>
    </row>
    <row r="33" spans="1:6" x14ac:dyDescent="0.25">
      <c r="A33">
        <v>32</v>
      </c>
      <c r="B33" t="s">
        <v>52</v>
      </c>
      <c r="C33" t="s">
        <v>25</v>
      </c>
      <c r="D33">
        <v>36500</v>
      </c>
      <c r="E33" t="s">
        <v>8</v>
      </c>
      <c r="F33" t="s">
        <v>9</v>
      </c>
    </row>
    <row r="34" spans="1:6" x14ac:dyDescent="0.25">
      <c r="A34">
        <v>33</v>
      </c>
      <c r="B34" t="s">
        <v>53</v>
      </c>
      <c r="C34" t="s">
        <v>27</v>
      </c>
      <c r="D34">
        <v>29600</v>
      </c>
      <c r="E34" t="s">
        <v>23</v>
      </c>
      <c r="F34" t="s">
        <v>9</v>
      </c>
    </row>
    <row r="35" spans="1:6" x14ac:dyDescent="0.25">
      <c r="A35">
        <v>34</v>
      </c>
      <c r="B35" t="s">
        <v>34</v>
      </c>
      <c r="C35" t="s">
        <v>29</v>
      </c>
      <c r="D35">
        <v>23200</v>
      </c>
      <c r="E35" t="s">
        <v>8</v>
      </c>
      <c r="F35" t="s">
        <v>9</v>
      </c>
    </row>
    <row r="36" spans="1:6" x14ac:dyDescent="0.25">
      <c r="A36">
        <v>35</v>
      </c>
      <c r="B36" t="s">
        <v>54</v>
      </c>
      <c r="C36" t="s">
        <v>31</v>
      </c>
      <c r="D36">
        <v>15300</v>
      </c>
      <c r="E36" t="s">
        <v>23</v>
      </c>
      <c r="F36" t="s">
        <v>9</v>
      </c>
    </row>
    <row r="37" spans="1:6" x14ac:dyDescent="0.25">
      <c r="A37">
        <v>36</v>
      </c>
      <c r="B37" t="s">
        <v>55</v>
      </c>
      <c r="C37" t="s">
        <v>33</v>
      </c>
      <c r="D37">
        <v>5800</v>
      </c>
      <c r="E37" t="s">
        <v>23</v>
      </c>
      <c r="F37" t="s">
        <v>9</v>
      </c>
    </row>
    <row r="38" spans="1:6" x14ac:dyDescent="0.25">
      <c r="A38">
        <v>37</v>
      </c>
      <c r="B38" t="s">
        <v>56</v>
      </c>
      <c r="C38" t="s">
        <v>7</v>
      </c>
      <c r="D38">
        <v>15600</v>
      </c>
      <c r="E38" t="s">
        <v>8</v>
      </c>
      <c r="F38" t="s">
        <v>9</v>
      </c>
    </row>
    <row r="39" spans="1:6" x14ac:dyDescent="0.25">
      <c r="A39">
        <v>38</v>
      </c>
      <c r="B39" t="s">
        <v>57</v>
      </c>
      <c r="C39" t="s">
        <v>11</v>
      </c>
      <c r="D39">
        <v>55900</v>
      </c>
      <c r="E39" t="s">
        <v>8</v>
      </c>
      <c r="F39" t="s">
        <v>9</v>
      </c>
    </row>
    <row r="40" spans="1:6" x14ac:dyDescent="0.25">
      <c r="A40">
        <v>39</v>
      </c>
      <c r="B40" t="s">
        <v>58</v>
      </c>
      <c r="C40" t="s">
        <v>13</v>
      </c>
      <c r="D40">
        <v>53400</v>
      </c>
      <c r="E40" t="s">
        <v>8</v>
      </c>
      <c r="F40" t="s">
        <v>9</v>
      </c>
    </row>
    <row r="41" spans="1:6" x14ac:dyDescent="0.25">
      <c r="A41">
        <v>40</v>
      </c>
      <c r="B41" t="s">
        <v>59</v>
      </c>
      <c r="C41" t="s">
        <v>15</v>
      </c>
      <c r="D41">
        <v>205200</v>
      </c>
      <c r="E41" t="s">
        <v>38</v>
      </c>
      <c r="F41" t="s">
        <v>20</v>
      </c>
    </row>
    <row r="42" spans="1:6" x14ac:dyDescent="0.25">
      <c r="A42">
        <v>41</v>
      </c>
      <c r="B42" t="s">
        <v>56</v>
      </c>
      <c r="C42" t="s">
        <v>17</v>
      </c>
      <c r="D42">
        <v>70900</v>
      </c>
      <c r="E42" t="s">
        <v>8</v>
      </c>
      <c r="F42" t="s">
        <v>9</v>
      </c>
    </row>
    <row r="43" spans="1:6" x14ac:dyDescent="0.25">
      <c r="A43">
        <v>42</v>
      </c>
      <c r="B43" t="s">
        <v>60</v>
      </c>
      <c r="C43" t="s">
        <v>19</v>
      </c>
      <c r="D43">
        <v>170500</v>
      </c>
      <c r="E43" t="s">
        <v>38</v>
      </c>
      <c r="F43" t="s">
        <v>20</v>
      </c>
    </row>
    <row r="44" spans="1:6" x14ac:dyDescent="0.25">
      <c r="A44">
        <v>43</v>
      </c>
      <c r="B44" t="s">
        <v>61</v>
      </c>
      <c r="C44" t="s">
        <v>22</v>
      </c>
      <c r="D44">
        <v>17100</v>
      </c>
      <c r="E44" t="s">
        <v>8</v>
      </c>
      <c r="F44" t="s">
        <v>9</v>
      </c>
    </row>
    <row r="45" spans="1:6" x14ac:dyDescent="0.25">
      <c r="A45">
        <v>44</v>
      </c>
      <c r="B45" t="s">
        <v>62</v>
      </c>
      <c r="C45" t="s">
        <v>25</v>
      </c>
      <c r="D45">
        <v>15100</v>
      </c>
      <c r="E45" t="s">
        <v>23</v>
      </c>
      <c r="F45" t="s">
        <v>9</v>
      </c>
    </row>
    <row r="46" spans="1:6" x14ac:dyDescent="0.25">
      <c r="A46">
        <v>45</v>
      </c>
      <c r="B46" t="s">
        <v>63</v>
      </c>
      <c r="C46" t="s">
        <v>27</v>
      </c>
      <c r="D46">
        <v>30500</v>
      </c>
      <c r="E46" t="s">
        <v>8</v>
      </c>
      <c r="F46" t="s">
        <v>9</v>
      </c>
    </row>
    <row r="47" spans="1:6" x14ac:dyDescent="0.25">
      <c r="A47">
        <v>46</v>
      </c>
      <c r="B47" t="s">
        <v>64</v>
      </c>
      <c r="C47" t="s">
        <v>29</v>
      </c>
      <c r="D47">
        <v>55800</v>
      </c>
      <c r="E47" t="s">
        <v>8</v>
      </c>
      <c r="F47" t="s">
        <v>9</v>
      </c>
    </row>
    <row r="48" spans="1:6" x14ac:dyDescent="0.25">
      <c r="A48">
        <v>47</v>
      </c>
      <c r="B48" t="s">
        <v>65</v>
      </c>
      <c r="C48" t="s">
        <v>31</v>
      </c>
      <c r="D48">
        <v>27900</v>
      </c>
      <c r="E48" t="s">
        <v>8</v>
      </c>
      <c r="F48" t="s">
        <v>9</v>
      </c>
    </row>
    <row r="49" spans="1:15" x14ac:dyDescent="0.25">
      <c r="A49">
        <v>48</v>
      </c>
      <c r="B49" t="s">
        <v>66</v>
      </c>
      <c r="C49" t="s">
        <v>33</v>
      </c>
      <c r="D49">
        <v>27900</v>
      </c>
      <c r="E49" t="s">
        <v>8</v>
      </c>
      <c r="F49" t="s">
        <v>9</v>
      </c>
    </row>
    <row r="50" spans="1:15" x14ac:dyDescent="0.25">
      <c r="A50">
        <v>49</v>
      </c>
      <c r="B50" t="s">
        <v>47</v>
      </c>
      <c r="C50" t="s">
        <v>7</v>
      </c>
      <c r="D50">
        <v>92400</v>
      </c>
      <c r="E50" t="s">
        <v>8</v>
      </c>
      <c r="F50" t="s">
        <v>9</v>
      </c>
    </row>
    <row r="51" spans="1:15" x14ac:dyDescent="0.25">
      <c r="A51">
        <v>50</v>
      </c>
      <c r="B51" t="s">
        <v>67</v>
      </c>
      <c r="C51" t="s">
        <v>11</v>
      </c>
      <c r="D51">
        <v>23900</v>
      </c>
      <c r="E51" t="s">
        <v>8</v>
      </c>
      <c r="F51" t="s">
        <v>9</v>
      </c>
      <c r="O51">
        <f t="shared" ref="O51:O114" si="6">N51*N51</f>
        <v>0</v>
      </c>
    </row>
    <row r="52" spans="1:15" x14ac:dyDescent="0.25">
      <c r="A52">
        <v>51</v>
      </c>
      <c r="B52" t="s">
        <v>18</v>
      </c>
      <c r="C52" t="s">
        <v>13</v>
      </c>
      <c r="D52">
        <v>158600</v>
      </c>
      <c r="E52" t="s">
        <v>8</v>
      </c>
      <c r="F52" t="s">
        <v>9</v>
      </c>
      <c r="O52">
        <f t="shared" si="6"/>
        <v>0</v>
      </c>
    </row>
    <row r="53" spans="1:15" x14ac:dyDescent="0.25">
      <c r="A53">
        <v>52</v>
      </c>
      <c r="B53" t="s">
        <v>68</v>
      </c>
      <c r="C53" t="s">
        <v>15</v>
      </c>
      <c r="D53">
        <v>73400</v>
      </c>
      <c r="E53" t="s">
        <v>8</v>
      </c>
      <c r="F53" t="s">
        <v>9</v>
      </c>
      <c r="O53">
        <f t="shared" si="6"/>
        <v>0</v>
      </c>
    </row>
    <row r="54" spans="1:15" x14ac:dyDescent="0.25">
      <c r="A54">
        <v>53</v>
      </c>
      <c r="B54" t="s">
        <v>69</v>
      </c>
      <c r="C54" t="s">
        <v>17</v>
      </c>
      <c r="D54">
        <v>62300</v>
      </c>
      <c r="E54" t="s">
        <v>38</v>
      </c>
      <c r="F54" t="s">
        <v>20</v>
      </c>
      <c r="O54">
        <f t="shared" si="6"/>
        <v>0</v>
      </c>
    </row>
    <row r="55" spans="1:15" x14ac:dyDescent="0.25">
      <c r="A55">
        <v>54</v>
      </c>
      <c r="B55" t="s">
        <v>70</v>
      </c>
      <c r="C55" t="s">
        <v>19</v>
      </c>
      <c r="D55">
        <v>16600</v>
      </c>
      <c r="E55" t="s">
        <v>8</v>
      </c>
      <c r="F55" t="s">
        <v>20</v>
      </c>
      <c r="O55">
        <f t="shared" si="6"/>
        <v>0</v>
      </c>
    </row>
    <row r="56" spans="1:15" x14ac:dyDescent="0.25">
      <c r="A56">
        <v>55</v>
      </c>
      <c r="B56" t="s">
        <v>71</v>
      </c>
      <c r="C56" t="s">
        <v>22</v>
      </c>
      <c r="D56">
        <v>57000</v>
      </c>
      <c r="E56" t="s">
        <v>38</v>
      </c>
      <c r="F56" t="s">
        <v>9</v>
      </c>
      <c r="O56">
        <f t="shared" si="6"/>
        <v>0</v>
      </c>
    </row>
    <row r="57" spans="1:15" x14ac:dyDescent="0.25">
      <c r="A57">
        <v>56</v>
      </c>
      <c r="B57" t="s">
        <v>72</v>
      </c>
      <c r="C57" t="s">
        <v>25</v>
      </c>
      <c r="D57">
        <v>46500</v>
      </c>
      <c r="E57" t="s">
        <v>38</v>
      </c>
      <c r="F57" t="s">
        <v>20</v>
      </c>
      <c r="O57">
        <f t="shared" si="6"/>
        <v>0</v>
      </c>
    </row>
    <row r="58" spans="1:15" x14ac:dyDescent="0.25">
      <c r="A58">
        <v>57</v>
      </c>
      <c r="B58" t="s">
        <v>73</v>
      </c>
      <c r="C58" t="s">
        <v>27</v>
      </c>
      <c r="D58">
        <v>93200</v>
      </c>
      <c r="E58" t="s">
        <v>8</v>
      </c>
      <c r="F58" t="s">
        <v>9</v>
      </c>
      <c r="O58">
        <f t="shared" si="6"/>
        <v>0</v>
      </c>
    </row>
    <row r="59" spans="1:15" x14ac:dyDescent="0.25">
      <c r="A59">
        <v>58</v>
      </c>
      <c r="B59" t="s">
        <v>74</v>
      </c>
      <c r="C59" t="s">
        <v>29</v>
      </c>
      <c r="D59">
        <v>24100</v>
      </c>
      <c r="E59" t="s">
        <v>8</v>
      </c>
      <c r="F59" t="s">
        <v>9</v>
      </c>
      <c r="O59">
        <f t="shared" si="6"/>
        <v>0</v>
      </c>
    </row>
    <row r="60" spans="1:15" x14ac:dyDescent="0.25">
      <c r="A60">
        <v>59</v>
      </c>
      <c r="B60" t="s">
        <v>75</v>
      </c>
      <c r="C60" t="s">
        <v>31</v>
      </c>
      <c r="D60">
        <v>108600</v>
      </c>
      <c r="E60" t="s">
        <v>8</v>
      </c>
      <c r="F60" t="s">
        <v>9</v>
      </c>
      <c r="O60">
        <f t="shared" si="6"/>
        <v>0</v>
      </c>
    </row>
    <row r="61" spans="1:15" x14ac:dyDescent="0.25">
      <c r="A61">
        <v>60</v>
      </c>
      <c r="B61" t="s">
        <v>76</v>
      </c>
      <c r="C61" t="s">
        <v>33</v>
      </c>
      <c r="D61">
        <v>5000</v>
      </c>
      <c r="E61" t="s">
        <v>8</v>
      </c>
      <c r="F61" t="s">
        <v>9</v>
      </c>
      <c r="O61">
        <f t="shared" si="6"/>
        <v>0</v>
      </c>
    </row>
    <row r="62" spans="1:15" x14ac:dyDescent="0.25">
      <c r="A62">
        <v>61</v>
      </c>
      <c r="B62" t="s">
        <v>77</v>
      </c>
      <c r="C62" t="s">
        <v>7</v>
      </c>
      <c r="D62">
        <v>28100</v>
      </c>
      <c r="E62" t="s">
        <v>23</v>
      </c>
      <c r="F62" t="s">
        <v>9</v>
      </c>
      <c r="O62">
        <f t="shared" si="6"/>
        <v>0</v>
      </c>
    </row>
    <row r="63" spans="1:15" x14ac:dyDescent="0.25">
      <c r="A63">
        <v>62</v>
      </c>
      <c r="B63" t="s">
        <v>78</v>
      </c>
      <c r="C63" t="s">
        <v>11</v>
      </c>
      <c r="D63">
        <v>190900</v>
      </c>
      <c r="E63" t="s">
        <v>8</v>
      </c>
      <c r="F63" t="s">
        <v>9</v>
      </c>
      <c r="O63">
        <f t="shared" si="6"/>
        <v>0</v>
      </c>
    </row>
    <row r="64" spans="1:15" x14ac:dyDescent="0.25">
      <c r="A64">
        <v>63</v>
      </c>
      <c r="B64" t="s">
        <v>49</v>
      </c>
      <c r="C64" t="s">
        <v>13</v>
      </c>
      <c r="D64">
        <v>36700</v>
      </c>
      <c r="E64" t="s">
        <v>38</v>
      </c>
      <c r="F64" t="s">
        <v>20</v>
      </c>
      <c r="O64">
        <f t="shared" si="6"/>
        <v>0</v>
      </c>
    </row>
    <row r="65" spans="1:15" x14ac:dyDescent="0.25">
      <c r="A65">
        <v>64</v>
      </c>
      <c r="B65" t="s">
        <v>79</v>
      </c>
      <c r="C65" t="s">
        <v>15</v>
      </c>
      <c r="D65">
        <v>26400</v>
      </c>
      <c r="E65" t="s">
        <v>8</v>
      </c>
      <c r="F65" t="s">
        <v>9</v>
      </c>
      <c r="O65">
        <f t="shared" si="6"/>
        <v>0</v>
      </c>
    </row>
    <row r="66" spans="1:15" x14ac:dyDescent="0.25">
      <c r="A66">
        <v>65</v>
      </c>
      <c r="B66" t="s">
        <v>80</v>
      </c>
      <c r="C66" t="s">
        <v>17</v>
      </c>
      <c r="D66">
        <v>155800</v>
      </c>
      <c r="E66" t="s">
        <v>8</v>
      </c>
      <c r="F66" t="s">
        <v>9</v>
      </c>
      <c r="O66">
        <f t="shared" si="6"/>
        <v>0</v>
      </c>
    </row>
    <row r="67" spans="1:15" x14ac:dyDescent="0.25">
      <c r="A67">
        <v>66</v>
      </c>
      <c r="B67" t="s">
        <v>81</v>
      </c>
      <c r="C67" t="s">
        <v>19</v>
      </c>
      <c r="D67">
        <v>25200</v>
      </c>
      <c r="E67" t="s">
        <v>8</v>
      </c>
      <c r="F67" t="s">
        <v>9</v>
      </c>
      <c r="O67">
        <f t="shared" si="6"/>
        <v>0</v>
      </c>
    </row>
    <row r="68" spans="1:15" x14ac:dyDescent="0.25">
      <c r="A68">
        <v>67</v>
      </c>
      <c r="B68" t="s">
        <v>82</v>
      </c>
      <c r="C68" t="s">
        <v>22</v>
      </c>
      <c r="D68">
        <v>19800</v>
      </c>
      <c r="E68" t="s">
        <v>8</v>
      </c>
      <c r="F68" t="s">
        <v>9</v>
      </c>
      <c r="O68">
        <f t="shared" si="6"/>
        <v>0</v>
      </c>
    </row>
    <row r="69" spans="1:15" x14ac:dyDescent="0.25">
      <c r="A69">
        <v>68</v>
      </c>
      <c r="B69" t="s">
        <v>83</v>
      </c>
      <c r="C69" t="s">
        <v>25</v>
      </c>
      <c r="D69">
        <v>50900</v>
      </c>
      <c r="E69" t="s">
        <v>8</v>
      </c>
      <c r="F69" t="s">
        <v>9</v>
      </c>
      <c r="O69">
        <f t="shared" si="6"/>
        <v>0</v>
      </c>
    </row>
    <row r="70" spans="1:15" x14ac:dyDescent="0.25">
      <c r="A70">
        <v>69</v>
      </c>
      <c r="B70" t="s">
        <v>84</v>
      </c>
      <c r="C70" t="s">
        <v>27</v>
      </c>
      <c r="D70">
        <v>51800</v>
      </c>
      <c r="E70" t="s">
        <v>8</v>
      </c>
      <c r="F70" t="s">
        <v>9</v>
      </c>
      <c r="O70">
        <f t="shared" si="6"/>
        <v>0</v>
      </c>
    </row>
    <row r="71" spans="1:15" x14ac:dyDescent="0.25">
      <c r="A71">
        <v>70</v>
      </c>
      <c r="B71" t="s">
        <v>12</v>
      </c>
      <c r="C71" t="s">
        <v>29</v>
      </c>
      <c r="D71">
        <v>49900</v>
      </c>
      <c r="E71" t="s">
        <v>8</v>
      </c>
      <c r="F71" t="s">
        <v>9</v>
      </c>
      <c r="O71">
        <f t="shared" si="6"/>
        <v>0</v>
      </c>
    </row>
    <row r="72" spans="1:15" x14ac:dyDescent="0.25">
      <c r="A72">
        <v>71</v>
      </c>
      <c r="B72" t="s">
        <v>85</v>
      </c>
      <c r="C72" t="s">
        <v>31</v>
      </c>
      <c r="D72">
        <v>19000</v>
      </c>
      <c r="E72" t="s">
        <v>8</v>
      </c>
      <c r="F72" t="s">
        <v>9</v>
      </c>
      <c r="O72">
        <f t="shared" si="6"/>
        <v>0</v>
      </c>
    </row>
    <row r="73" spans="1:15" x14ac:dyDescent="0.25">
      <c r="A73">
        <v>72</v>
      </c>
      <c r="B73" t="s">
        <v>86</v>
      </c>
      <c r="C73" t="s">
        <v>33</v>
      </c>
      <c r="D73">
        <v>23500</v>
      </c>
      <c r="E73" t="s">
        <v>8</v>
      </c>
      <c r="F73" t="s">
        <v>9</v>
      </c>
      <c r="O73">
        <f t="shared" si="6"/>
        <v>0</v>
      </c>
    </row>
    <row r="74" spans="1:15" x14ac:dyDescent="0.25">
      <c r="A74">
        <v>73</v>
      </c>
      <c r="B74" t="s">
        <v>87</v>
      </c>
      <c r="C74" t="s">
        <v>7</v>
      </c>
      <c r="D74">
        <v>24100</v>
      </c>
      <c r="E74" t="s">
        <v>38</v>
      </c>
      <c r="F74" t="s">
        <v>20</v>
      </c>
      <c r="O74">
        <f t="shared" si="6"/>
        <v>0</v>
      </c>
    </row>
    <row r="75" spans="1:15" x14ac:dyDescent="0.25">
      <c r="A75">
        <v>74</v>
      </c>
      <c r="B75" t="s">
        <v>88</v>
      </c>
      <c r="C75" t="s">
        <v>11</v>
      </c>
      <c r="D75">
        <v>84400</v>
      </c>
      <c r="E75" t="s">
        <v>8</v>
      </c>
      <c r="F75" t="s">
        <v>9</v>
      </c>
      <c r="O75">
        <f t="shared" si="6"/>
        <v>0</v>
      </c>
    </row>
    <row r="76" spans="1:15" x14ac:dyDescent="0.25">
      <c r="A76">
        <v>75</v>
      </c>
      <c r="B76" t="s">
        <v>89</v>
      </c>
      <c r="C76" t="s">
        <v>13</v>
      </c>
      <c r="D76">
        <v>19900</v>
      </c>
      <c r="E76" t="s">
        <v>38</v>
      </c>
      <c r="F76" t="s">
        <v>9</v>
      </c>
      <c r="O76">
        <f t="shared" si="6"/>
        <v>0</v>
      </c>
    </row>
    <row r="77" spans="1:15" x14ac:dyDescent="0.25">
      <c r="A77">
        <v>76</v>
      </c>
      <c r="B77" t="s">
        <v>66</v>
      </c>
      <c r="C77" t="s">
        <v>15</v>
      </c>
      <c r="D77">
        <v>30800</v>
      </c>
      <c r="E77" t="s">
        <v>38</v>
      </c>
      <c r="F77" t="s">
        <v>9</v>
      </c>
      <c r="O77">
        <f t="shared" si="6"/>
        <v>0</v>
      </c>
    </row>
    <row r="78" spans="1:15" x14ac:dyDescent="0.25">
      <c r="A78">
        <v>77</v>
      </c>
      <c r="B78" t="s">
        <v>90</v>
      </c>
      <c r="C78" t="s">
        <v>17</v>
      </c>
      <c r="D78">
        <v>35200</v>
      </c>
      <c r="E78" t="s">
        <v>8</v>
      </c>
      <c r="F78" t="s">
        <v>9</v>
      </c>
      <c r="O78">
        <f t="shared" si="6"/>
        <v>0</v>
      </c>
    </row>
    <row r="79" spans="1:15" x14ac:dyDescent="0.25">
      <c r="A79">
        <v>78</v>
      </c>
      <c r="B79" t="s">
        <v>36</v>
      </c>
      <c r="C79" t="s">
        <v>19</v>
      </c>
      <c r="D79">
        <v>39100</v>
      </c>
      <c r="E79" t="s">
        <v>38</v>
      </c>
      <c r="F79" t="s">
        <v>20</v>
      </c>
      <c r="O79">
        <f t="shared" si="6"/>
        <v>0</v>
      </c>
    </row>
    <row r="80" spans="1:15" x14ac:dyDescent="0.25">
      <c r="A80">
        <v>79</v>
      </c>
      <c r="B80" t="s">
        <v>91</v>
      </c>
      <c r="C80" t="s">
        <v>22</v>
      </c>
      <c r="D80">
        <v>43500</v>
      </c>
      <c r="E80" t="s">
        <v>8</v>
      </c>
      <c r="F80" t="s">
        <v>9</v>
      </c>
      <c r="O80">
        <f t="shared" si="6"/>
        <v>0</v>
      </c>
    </row>
    <row r="81" spans="1:15" x14ac:dyDescent="0.25">
      <c r="A81">
        <v>80</v>
      </c>
      <c r="B81" t="s">
        <v>92</v>
      </c>
      <c r="C81" t="s">
        <v>25</v>
      </c>
      <c r="D81">
        <v>39100</v>
      </c>
      <c r="E81" t="s">
        <v>8</v>
      </c>
      <c r="F81" t="s">
        <v>9</v>
      </c>
      <c r="O81">
        <f t="shared" si="6"/>
        <v>0</v>
      </c>
    </row>
    <row r="82" spans="1:15" x14ac:dyDescent="0.25">
      <c r="A82">
        <v>81</v>
      </c>
      <c r="B82" t="s">
        <v>93</v>
      </c>
      <c r="C82" t="s">
        <v>27</v>
      </c>
      <c r="D82">
        <v>68100</v>
      </c>
      <c r="E82" t="s">
        <v>8</v>
      </c>
      <c r="F82" t="s">
        <v>9</v>
      </c>
      <c r="O82">
        <f t="shared" si="6"/>
        <v>0</v>
      </c>
    </row>
    <row r="83" spans="1:15" x14ac:dyDescent="0.25">
      <c r="A83">
        <v>82</v>
      </c>
      <c r="B83" t="s">
        <v>76</v>
      </c>
      <c r="C83" t="s">
        <v>29</v>
      </c>
      <c r="D83">
        <v>12200</v>
      </c>
      <c r="E83" t="s">
        <v>8</v>
      </c>
      <c r="F83" t="s">
        <v>9</v>
      </c>
      <c r="O83">
        <f t="shared" si="6"/>
        <v>0</v>
      </c>
    </row>
    <row r="84" spans="1:15" x14ac:dyDescent="0.25">
      <c r="A84">
        <v>83</v>
      </c>
      <c r="B84" t="s">
        <v>94</v>
      </c>
      <c r="C84" t="s">
        <v>31</v>
      </c>
      <c r="D84">
        <v>28600</v>
      </c>
      <c r="E84" t="s">
        <v>8</v>
      </c>
      <c r="F84" t="s">
        <v>9</v>
      </c>
      <c r="O84">
        <f t="shared" si="6"/>
        <v>0</v>
      </c>
    </row>
    <row r="85" spans="1:15" x14ac:dyDescent="0.25">
      <c r="A85">
        <v>84</v>
      </c>
      <c r="B85" t="s">
        <v>95</v>
      </c>
      <c r="C85" t="s">
        <v>33</v>
      </c>
      <c r="D85">
        <v>96300</v>
      </c>
      <c r="E85" t="s">
        <v>8</v>
      </c>
      <c r="F85" t="s">
        <v>9</v>
      </c>
      <c r="O85">
        <f t="shared" si="6"/>
        <v>0</v>
      </c>
    </row>
    <row r="86" spans="1:15" x14ac:dyDescent="0.25">
      <c r="A86">
        <v>85</v>
      </c>
      <c r="B86" t="s">
        <v>96</v>
      </c>
      <c r="C86" t="s">
        <v>7</v>
      </c>
      <c r="D86">
        <v>52700</v>
      </c>
      <c r="E86" t="s">
        <v>8</v>
      </c>
      <c r="F86" t="s">
        <v>9</v>
      </c>
      <c r="O86">
        <f t="shared" si="6"/>
        <v>0</v>
      </c>
    </row>
    <row r="87" spans="1:15" x14ac:dyDescent="0.25">
      <c r="A87">
        <v>86</v>
      </c>
      <c r="B87" t="s">
        <v>97</v>
      </c>
      <c r="C87" t="s">
        <v>11</v>
      </c>
      <c r="D87">
        <v>57200</v>
      </c>
      <c r="E87" t="s">
        <v>8</v>
      </c>
      <c r="F87" t="s">
        <v>9</v>
      </c>
      <c r="O87">
        <f t="shared" si="6"/>
        <v>0</v>
      </c>
    </row>
    <row r="88" spans="1:15" x14ac:dyDescent="0.25">
      <c r="A88">
        <v>87</v>
      </c>
      <c r="B88" t="s">
        <v>98</v>
      </c>
      <c r="C88" t="s">
        <v>13</v>
      </c>
      <c r="D88">
        <v>30900</v>
      </c>
      <c r="E88" t="s">
        <v>8</v>
      </c>
      <c r="F88" t="s">
        <v>9</v>
      </c>
      <c r="O88">
        <f t="shared" si="6"/>
        <v>0</v>
      </c>
    </row>
    <row r="89" spans="1:15" x14ac:dyDescent="0.25">
      <c r="A89">
        <v>88</v>
      </c>
      <c r="B89" t="s">
        <v>99</v>
      </c>
      <c r="C89" t="s">
        <v>15</v>
      </c>
      <c r="D89">
        <v>35000</v>
      </c>
      <c r="E89" t="s">
        <v>8</v>
      </c>
      <c r="F89" t="s">
        <v>9</v>
      </c>
      <c r="O89">
        <f t="shared" si="6"/>
        <v>0</v>
      </c>
    </row>
    <row r="90" spans="1:15" x14ac:dyDescent="0.25">
      <c r="A90">
        <v>89</v>
      </c>
      <c r="B90" t="s">
        <v>100</v>
      </c>
      <c r="C90" t="s">
        <v>17</v>
      </c>
      <c r="D90">
        <v>47600</v>
      </c>
      <c r="E90" t="s">
        <v>23</v>
      </c>
      <c r="F90" t="s">
        <v>9</v>
      </c>
      <c r="O90">
        <f t="shared" si="6"/>
        <v>0</v>
      </c>
    </row>
    <row r="91" spans="1:15" x14ac:dyDescent="0.25">
      <c r="A91">
        <v>90</v>
      </c>
      <c r="B91" t="s">
        <v>101</v>
      </c>
      <c r="C91" t="s">
        <v>19</v>
      </c>
      <c r="D91">
        <v>156700</v>
      </c>
      <c r="E91" t="s">
        <v>8</v>
      </c>
      <c r="F91" t="s">
        <v>9</v>
      </c>
      <c r="O91">
        <f t="shared" si="6"/>
        <v>0</v>
      </c>
    </row>
    <row r="92" spans="1:15" x14ac:dyDescent="0.25">
      <c r="A92">
        <v>91</v>
      </c>
      <c r="B92" t="s">
        <v>34</v>
      </c>
      <c r="C92" t="s">
        <v>22</v>
      </c>
      <c r="D92">
        <v>21700</v>
      </c>
      <c r="E92" t="s">
        <v>8</v>
      </c>
      <c r="F92" t="s">
        <v>9</v>
      </c>
      <c r="O92">
        <f t="shared" si="6"/>
        <v>0</v>
      </c>
    </row>
    <row r="93" spans="1:15" x14ac:dyDescent="0.25">
      <c r="A93">
        <v>92</v>
      </c>
      <c r="B93" t="s">
        <v>102</v>
      </c>
      <c r="C93" t="s">
        <v>25</v>
      </c>
      <c r="D93">
        <v>106600</v>
      </c>
      <c r="E93" t="s">
        <v>8</v>
      </c>
      <c r="F93" t="s">
        <v>20</v>
      </c>
      <c r="O93">
        <f t="shared" si="6"/>
        <v>0</v>
      </c>
    </row>
    <row r="94" spans="1:15" x14ac:dyDescent="0.25">
      <c r="A94">
        <v>93</v>
      </c>
      <c r="B94" t="s">
        <v>65</v>
      </c>
      <c r="C94" t="s">
        <v>27</v>
      </c>
      <c r="D94">
        <v>11800</v>
      </c>
      <c r="E94" t="s">
        <v>8</v>
      </c>
      <c r="F94" t="s">
        <v>9</v>
      </c>
      <c r="O94">
        <f t="shared" si="6"/>
        <v>0</v>
      </c>
    </row>
    <row r="95" spans="1:15" x14ac:dyDescent="0.25">
      <c r="A95">
        <v>94</v>
      </c>
      <c r="B95" t="s">
        <v>103</v>
      </c>
      <c r="C95" t="s">
        <v>29</v>
      </c>
      <c r="D95">
        <v>21500</v>
      </c>
      <c r="E95" t="s">
        <v>23</v>
      </c>
      <c r="F95" t="s">
        <v>9</v>
      </c>
      <c r="O95">
        <f t="shared" si="6"/>
        <v>0</v>
      </c>
    </row>
    <row r="96" spans="1:15" x14ac:dyDescent="0.25">
      <c r="A96">
        <v>95</v>
      </c>
      <c r="B96" t="s">
        <v>104</v>
      </c>
      <c r="C96" t="s">
        <v>31</v>
      </c>
      <c r="D96">
        <v>49500</v>
      </c>
      <c r="E96" t="s">
        <v>8</v>
      </c>
      <c r="F96" t="s">
        <v>9</v>
      </c>
      <c r="O96">
        <f t="shared" si="6"/>
        <v>0</v>
      </c>
    </row>
    <row r="97" spans="1:15" x14ac:dyDescent="0.25">
      <c r="A97">
        <v>96</v>
      </c>
      <c r="B97" t="s">
        <v>105</v>
      </c>
      <c r="C97" t="s">
        <v>33</v>
      </c>
      <c r="D97">
        <v>39100</v>
      </c>
      <c r="E97" t="s">
        <v>38</v>
      </c>
      <c r="F97" t="s">
        <v>20</v>
      </c>
      <c r="O97">
        <f t="shared" si="6"/>
        <v>0</v>
      </c>
    </row>
    <row r="98" spans="1:15" x14ac:dyDescent="0.25">
      <c r="A98">
        <v>97</v>
      </c>
      <c r="B98" t="s">
        <v>106</v>
      </c>
      <c r="C98" t="s">
        <v>7</v>
      </c>
      <c r="D98">
        <v>17700</v>
      </c>
      <c r="E98" t="s">
        <v>8</v>
      </c>
      <c r="F98" t="s">
        <v>9</v>
      </c>
      <c r="O98">
        <f t="shared" si="6"/>
        <v>0</v>
      </c>
    </row>
    <row r="99" spans="1:15" x14ac:dyDescent="0.25">
      <c r="A99">
        <v>98</v>
      </c>
      <c r="B99" t="s">
        <v>89</v>
      </c>
      <c r="C99" t="s">
        <v>11</v>
      </c>
      <c r="D99">
        <v>40500</v>
      </c>
      <c r="E99" t="s">
        <v>8</v>
      </c>
      <c r="F99" t="s">
        <v>9</v>
      </c>
      <c r="O99">
        <f t="shared" si="6"/>
        <v>0</v>
      </c>
    </row>
    <row r="100" spans="1:15" x14ac:dyDescent="0.25">
      <c r="A100">
        <v>99</v>
      </c>
      <c r="B100" t="s">
        <v>107</v>
      </c>
      <c r="C100" t="s">
        <v>13</v>
      </c>
      <c r="D100">
        <v>129700</v>
      </c>
      <c r="E100" t="s">
        <v>8</v>
      </c>
      <c r="F100" t="s">
        <v>9</v>
      </c>
      <c r="O100">
        <f t="shared" si="6"/>
        <v>0</v>
      </c>
    </row>
    <row r="101" spans="1:15" x14ac:dyDescent="0.25">
      <c r="A101">
        <v>100</v>
      </c>
      <c r="B101" t="s">
        <v>108</v>
      </c>
      <c r="C101" t="s">
        <v>15</v>
      </c>
      <c r="D101">
        <v>15500</v>
      </c>
      <c r="E101" t="s">
        <v>8</v>
      </c>
      <c r="F101" t="s">
        <v>9</v>
      </c>
      <c r="O101">
        <f t="shared" si="6"/>
        <v>0</v>
      </c>
    </row>
    <row r="102" spans="1:15" x14ac:dyDescent="0.25">
      <c r="A102">
        <v>101</v>
      </c>
      <c r="B102" t="s">
        <v>109</v>
      </c>
      <c r="C102" t="s">
        <v>17</v>
      </c>
      <c r="D102">
        <v>13500</v>
      </c>
      <c r="E102" t="s">
        <v>38</v>
      </c>
      <c r="F102" t="s">
        <v>9</v>
      </c>
      <c r="O102">
        <f t="shared" si="6"/>
        <v>0</v>
      </c>
    </row>
    <row r="103" spans="1:15" x14ac:dyDescent="0.25">
      <c r="A103">
        <v>102</v>
      </c>
      <c r="B103" t="s">
        <v>110</v>
      </c>
      <c r="C103" t="s">
        <v>19</v>
      </c>
      <c r="D103">
        <v>19300</v>
      </c>
      <c r="E103" t="s">
        <v>8</v>
      </c>
      <c r="F103" t="s">
        <v>9</v>
      </c>
      <c r="O103">
        <f t="shared" si="6"/>
        <v>0</v>
      </c>
    </row>
    <row r="104" spans="1:15" x14ac:dyDescent="0.25">
      <c r="A104">
        <v>103</v>
      </c>
      <c r="B104" t="s">
        <v>30</v>
      </c>
      <c r="C104" t="s">
        <v>22</v>
      </c>
      <c r="D104">
        <v>49200</v>
      </c>
      <c r="E104" t="s">
        <v>8</v>
      </c>
      <c r="F104" t="s">
        <v>9</v>
      </c>
      <c r="O104">
        <f t="shared" si="6"/>
        <v>0</v>
      </c>
    </row>
    <row r="105" spans="1:15" x14ac:dyDescent="0.25">
      <c r="A105">
        <v>104</v>
      </c>
      <c r="B105" t="s">
        <v>111</v>
      </c>
      <c r="C105" t="s">
        <v>25</v>
      </c>
      <c r="D105">
        <v>69700</v>
      </c>
      <c r="E105" t="s">
        <v>8</v>
      </c>
      <c r="F105" t="s">
        <v>9</v>
      </c>
      <c r="O105">
        <f t="shared" si="6"/>
        <v>0</v>
      </c>
    </row>
    <row r="106" spans="1:15" x14ac:dyDescent="0.25">
      <c r="A106">
        <v>105</v>
      </c>
      <c r="B106" t="s">
        <v>112</v>
      </c>
      <c r="C106" t="s">
        <v>27</v>
      </c>
      <c r="D106">
        <v>68300</v>
      </c>
      <c r="E106" t="s">
        <v>23</v>
      </c>
      <c r="F106" t="s">
        <v>9</v>
      </c>
      <c r="O106">
        <f t="shared" si="6"/>
        <v>0</v>
      </c>
    </row>
    <row r="107" spans="1:15" x14ac:dyDescent="0.25">
      <c r="A107">
        <v>106</v>
      </c>
      <c r="B107" t="s">
        <v>113</v>
      </c>
      <c r="C107" t="s">
        <v>29</v>
      </c>
      <c r="D107">
        <v>79000</v>
      </c>
      <c r="E107" t="s">
        <v>38</v>
      </c>
      <c r="F107" t="s">
        <v>20</v>
      </c>
      <c r="O107">
        <f t="shared" si="6"/>
        <v>0</v>
      </c>
    </row>
    <row r="108" spans="1:15" x14ac:dyDescent="0.25">
      <c r="A108">
        <v>107</v>
      </c>
      <c r="B108" t="s">
        <v>114</v>
      </c>
      <c r="C108" t="s">
        <v>31</v>
      </c>
      <c r="D108">
        <v>99700</v>
      </c>
      <c r="E108" t="s">
        <v>8</v>
      </c>
      <c r="F108" t="s">
        <v>9</v>
      </c>
      <c r="O108">
        <f t="shared" si="6"/>
        <v>0</v>
      </c>
    </row>
    <row r="109" spans="1:15" x14ac:dyDescent="0.25">
      <c r="A109">
        <v>108</v>
      </c>
      <c r="B109" t="s">
        <v>115</v>
      </c>
      <c r="C109" t="s">
        <v>33</v>
      </c>
      <c r="D109">
        <v>20900</v>
      </c>
      <c r="E109" t="s">
        <v>23</v>
      </c>
      <c r="F109" t="s">
        <v>9</v>
      </c>
      <c r="O109">
        <f t="shared" si="6"/>
        <v>0</v>
      </c>
    </row>
    <row r="110" spans="1:15" x14ac:dyDescent="0.25">
      <c r="A110">
        <v>109</v>
      </c>
      <c r="B110" t="s">
        <v>116</v>
      </c>
      <c r="C110" t="s">
        <v>7</v>
      </c>
      <c r="D110">
        <v>55700</v>
      </c>
      <c r="E110" t="s">
        <v>38</v>
      </c>
      <c r="F110" t="s">
        <v>20</v>
      </c>
      <c r="O110">
        <f t="shared" si="6"/>
        <v>0</v>
      </c>
    </row>
    <row r="111" spans="1:15" x14ac:dyDescent="0.25">
      <c r="A111">
        <v>110</v>
      </c>
      <c r="B111" t="s">
        <v>117</v>
      </c>
      <c r="C111" t="s">
        <v>11</v>
      </c>
      <c r="D111">
        <v>221100</v>
      </c>
      <c r="E111" t="s">
        <v>8</v>
      </c>
      <c r="F111" t="s">
        <v>9</v>
      </c>
      <c r="O111">
        <f t="shared" si="6"/>
        <v>0</v>
      </c>
    </row>
    <row r="112" spans="1:15" x14ac:dyDescent="0.25">
      <c r="A112">
        <v>111</v>
      </c>
      <c r="B112" t="s">
        <v>118</v>
      </c>
      <c r="C112" t="s">
        <v>13</v>
      </c>
      <c r="D112">
        <v>62500</v>
      </c>
      <c r="E112" t="s">
        <v>23</v>
      </c>
      <c r="F112" t="s">
        <v>20</v>
      </c>
      <c r="O112">
        <f t="shared" si="6"/>
        <v>0</v>
      </c>
    </row>
    <row r="113" spans="1:15" x14ac:dyDescent="0.25">
      <c r="A113">
        <v>112</v>
      </c>
      <c r="B113" t="s">
        <v>98</v>
      </c>
      <c r="O113">
        <f t="shared" si="6"/>
        <v>0</v>
      </c>
    </row>
    <row r="114" spans="1:15" x14ac:dyDescent="0.25">
      <c r="A114">
        <v>113</v>
      </c>
      <c r="B114" t="s">
        <v>105</v>
      </c>
      <c r="C114" t="s">
        <v>17</v>
      </c>
      <c r="D114">
        <v>78100</v>
      </c>
      <c r="E114" t="s">
        <v>38</v>
      </c>
      <c r="F114" t="s">
        <v>20</v>
      </c>
      <c r="O114">
        <f t="shared" si="6"/>
        <v>0</v>
      </c>
    </row>
    <row r="115" spans="1:15" x14ac:dyDescent="0.25">
      <c r="A115">
        <v>114</v>
      </c>
      <c r="B115" t="s">
        <v>119</v>
      </c>
      <c r="C115" t="s">
        <v>19</v>
      </c>
      <c r="D115">
        <v>21700</v>
      </c>
      <c r="E115" t="s">
        <v>8</v>
      </c>
      <c r="F115" t="s">
        <v>20</v>
      </c>
      <c r="O115">
        <f t="shared" ref="O115:O178" si="7">N115*N115</f>
        <v>0</v>
      </c>
    </row>
    <row r="116" spans="1:15" x14ac:dyDescent="0.25">
      <c r="A116">
        <v>115</v>
      </c>
      <c r="B116" t="s">
        <v>24</v>
      </c>
      <c r="C116" t="s">
        <v>22</v>
      </c>
      <c r="D116">
        <v>18600</v>
      </c>
      <c r="E116" t="s">
        <v>23</v>
      </c>
      <c r="F116" t="s">
        <v>9</v>
      </c>
      <c r="O116">
        <f t="shared" si="7"/>
        <v>0</v>
      </c>
    </row>
    <row r="117" spans="1:15" x14ac:dyDescent="0.25">
      <c r="A117">
        <v>116</v>
      </c>
      <c r="B117" t="s">
        <v>120</v>
      </c>
      <c r="C117" t="s">
        <v>25</v>
      </c>
      <c r="D117">
        <v>40400</v>
      </c>
      <c r="E117" t="s">
        <v>38</v>
      </c>
      <c r="F117" t="s">
        <v>9</v>
      </c>
      <c r="O117">
        <f t="shared" si="7"/>
        <v>0</v>
      </c>
    </row>
    <row r="118" spans="1:15" x14ac:dyDescent="0.25">
      <c r="A118">
        <v>117</v>
      </c>
      <c r="B118" t="s">
        <v>71</v>
      </c>
      <c r="C118" t="s">
        <v>27</v>
      </c>
      <c r="D118">
        <v>10700</v>
      </c>
      <c r="E118" t="s">
        <v>8</v>
      </c>
      <c r="F118" t="s">
        <v>20</v>
      </c>
      <c r="O118">
        <f t="shared" si="7"/>
        <v>0</v>
      </c>
    </row>
    <row r="119" spans="1:15" x14ac:dyDescent="0.25">
      <c r="A119">
        <v>118</v>
      </c>
      <c r="B119" t="s">
        <v>121</v>
      </c>
      <c r="C119" t="s">
        <v>29</v>
      </c>
      <c r="D119">
        <v>7600</v>
      </c>
      <c r="E119" t="s">
        <v>8</v>
      </c>
      <c r="F119" t="s">
        <v>9</v>
      </c>
      <c r="O119">
        <f t="shared" si="7"/>
        <v>0</v>
      </c>
    </row>
    <row r="120" spans="1:15" x14ac:dyDescent="0.25">
      <c r="A120">
        <v>119</v>
      </c>
      <c r="B120" t="s">
        <v>122</v>
      </c>
      <c r="C120" t="s">
        <v>31</v>
      </c>
      <c r="D120">
        <v>9500</v>
      </c>
      <c r="E120" t="s">
        <v>8</v>
      </c>
      <c r="F120" t="s">
        <v>9</v>
      </c>
      <c r="O120">
        <f t="shared" si="7"/>
        <v>0</v>
      </c>
    </row>
    <row r="121" spans="1:15" x14ac:dyDescent="0.25">
      <c r="A121">
        <v>120</v>
      </c>
      <c r="B121" t="s">
        <v>123</v>
      </c>
      <c r="C121" t="s">
        <v>33</v>
      </c>
      <c r="D121">
        <v>55900</v>
      </c>
      <c r="E121" t="s">
        <v>23</v>
      </c>
      <c r="F121" t="s">
        <v>9</v>
      </c>
      <c r="O121">
        <f t="shared" si="7"/>
        <v>0</v>
      </c>
    </row>
    <row r="122" spans="1:15" x14ac:dyDescent="0.25">
      <c r="A122">
        <v>121</v>
      </c>
      <c r="B122" t="s">
        <v>124</v>
      </c>
      <c r="C122" t="s">
        <v>7</v>
      </c>
      <c r="D122">
        <v>8100</v>
      </c>
      <c r="E122" t="s">
        <v>8</v>
      </c>
      <c r="F122" t="s">
        <v>20</v>
      </c>
      <c r="O122">
        <f t="shared" si="7"/>
        <v>0</v>
      </c>
    </row>
    <row r="123" spans="1:15" x14ac:dyDescent="0.25">
      <c r="A123">
        <v>122</v>
      </c>
      <c r="B123" t="s">
        <v>125</v>
      </c>
      <c r="C123" t="s">
        <v>11</v>
      </c>
      <c r="D123">
        <v>35700</v>
      </c>
      <c r="E123" t="s">
        <v>38</v>
      </c>
      <c r="F123" t="s">
        <v>20</v>
      </c>
      <c r="O123">
        <f t="shared" si="7"/>
        <v>0</v>
      </c>
    </row>
    <row r="124" spans="1:15" x14ac:dyDescent="0.25">
      <c r="A124">
        <v>123</v>
      </c>
      <c r="B124" t="s">
        <v>126</v>
      </c>
      <c r="C124" t="s">
        <v>13</v>
      </c>
      <c r="D124">
        <v>146900</v>
      </c>
      <c r="E124" t="s">
        <v>8</v>
      </c>
      <c r="F124" t="s">
        <v>9</v>
      </c>
      <c r="O124">
        <f t="shared" si="7"/>
        <v>0</v>
      </c>
    </row>
    <row r="125" spans="1:15" x14ac:dyDescent="0.25">
      <c r="A125">
        <v>124</v>
      </c>
      <c r="B125" t="s">
        <v>34</v>
      </c>
      <c r="C125" t="s">
        <v>15</v>
      </c>
      <c r="D125">
        <v>13000</v>
      </c>
      <c r="E125" t="s">
        <v>8</v>
      </c>
      <c r="F125" t="s">
        <v>9</v>
      </c>
      <c r="O125">
        <f t="shared" si="7"/>
        <v>0</v>
      </c>
    </row>
    <row r="126" spans="1:15" x14ac:dyDescent="0.25">
      <c r="A126">
        <v>125</v>
      </c>
      <c r="B126" t="s">
        <v>127</v>
      </c>
      <c r="C126" t="s">
        <v>17</v>
      </c>
      <c r="D126">
        <v>64300</v>
      </c>
      <c r="E126" t="s">
        <v>8</v>
      </c>
      <c r="F126" t="s">
        <v>9</v>
      </c>
      <c r="O126">
        <f t="shared" si="7"/>
        <v>0</v>
      </c>
    </row>
    <row r="127" spans="1:15" x14ac:dyDescent="0.25">
      <c r="A127">
        <v>126</v>
      </c>
      <c r="B127" t="s">
        <v>128</v>
      </c>
      <c r="C127" t="s">
        <v>19</v>
      </c>
      <c r="D127">
        <v>135000</v>
      </c>
      <c r="E127" t="s">
        <v>23</v>
      </c>
      <c r="F127" t="s">
        <v>9</v>
      </c>
      <c r="O127">
        <f t="shared" si="7"/>
        <v>0</v>
      </c>
    </row>
    <row r="128" spans="1:15" x14ac:dyDescent="0.25">
      <c r="A128">
        <v>127</v>
      </c>
      <c r="B128" t="s">
        <v>112</v>
      </c>
      <c r="O128">
        <f t="shared" si="7"/>
        <v>0</v>
      </c>
    </row>
    <row r="129" spans="1:15" x14ac:dyDescent="0.25">
      <c r="A129">
        <v>128</v>
      </c>
      <c r="B129" t="s">
        <v>129</v>
      </c>
      <c r="C129" t="s">
        <v>25</v>
      </c>
      <c r="D129">
        <v>11200</v>
      </c>
      <c r="E129" t="s">
        <v>23</v>
      </c>
      <c r="F129" t="s">
        <v>20</v>
      </c>
      <c r="O129">
        <f t="shared" si="7"/>
        <v>0</v>
      </c>
    </row>
    <row r="130" spans="1:15" x14ac:dyDescent="0.25">
      <c r="A130">
        <v>129</v>
      </c>
      <c r="B130" t="s">
        <v>130</v>
      </c>
      <c r="C130" t="s">
        <v>27</v>
      </c>
      <c r="D130">
        <v>19700</v>
      </c>
      <c r="E130" t="s">
        <v>8</v>
      </c>
      <c r="F130" t="s">
        <v>9</v>
      </c>
      <c r="O130">
        <f t="shared" si="7"/>
        <v>0</v>
      </c>
    </row>
    <row r="131" spans="1:15" x14ac:dyDescent="0.25">
      <c r="A131">
        <v>130</v>
      </c>
      <c r="B131" t="s">
        <v>131</v>
      </c>
      <c r="C131" t="s">
        <v>29</v>
      </c>
      <c r="D131">
        <v>58900</v>
      </c>
      <c r="E131" t="s">
        <v>8</v>
      </c>
      <c r="F131" t="s">
        <v>9</v>
      </c>
      <c r="O131">
        <f t="shared" si="7"/>
        <v>0</v>
      </c>
    </row>
    <row r="132" spans="1:15" x14ac:dyDescent="0.25">
      <c r="A132">
        <v>131</v>
      </c>
      <c r="B132" t="s">
        <v>132</v>
      </c>
      <c r="C132" t="s">
        <v>31</v>
      </c>
      <c r="D132">
        <v>10300</v>
      </c>
      <c r="E132" t="s">
        <v>23</v>
      </c>
      <c r="F132" t="s">
        <v>9</v>
      </c>
      <c r="O132">
        <f t="shared" si="7"/>
        <v>0</v>
      </c>
    </row>
    <row r="133" spans="1:15" x14ac:dyDescent="0.25">
      <c r="A133">
        <v>132</v>
      </c>
      <c r="B133" t="s">
        <v>133</v>
      </c>
      <c r="C133" t="s">
        <v>33</v>
      </c>
      <c r="D133">
        <v>5000</v>
      </c>
      <c r="E133" t="s">
        <v>8</v>
      </c>
      <c r="F133" t="s">
        <v>9</v>
      </c>
      <c r="O133">
        <f t="shared" si="7"/>
        <v>0</v>
      </c>
    </row>
    <row r="134" spans="1:15" x14ac:dyDescent="0.25">
      <c r="A134">
        <v>133</v>
      </c>
      <c r="B134" t="s">
        <v>134</v>
      </c>
      <c r="C134" t="s">
        <v>7</v>
      </c>
      <c r="D134">
        <v>249500</v>
      </c>
      <c r="E134" t="s">
        <v>8</v>
      </c>
      <c r="F134" t="s">
        <v>9</v>
      </c>
      <c r="O134">
        <f t="shared" si="7"/>
        <v>0</v>
      </c>
    </row>
    <row r="135" spans="1:15" x14ac:dyDescent="0.25">
      <c r="A135">
        <v>134</v>
      </c>
      <c r="B135" t="s">
        <v>135</v>
      </c>
      <c r="C135" t="s">
        <v>11</v>
      </c>
      <c r="D135">
        <v>20600</v>
      </c>
      <c r="E135" t="s">
        <v>8</v>
      </c>
      <c r="F135" t="s">
        <v>9</v>
      </c>
      <c r="O135">
        <f t="shared" si="7"/>
        <v>0</v>
      </c>
    </row>
    <row r="136" spans="1:15" x14ac:dyDescent="0.25">
      <c r="A136">
        <v>135</v>
      </c>
      <c r="B136" t="s">
        <v>136</v>
      </c>
      <c r="C136" t="s">
        <v>13</v>
      </c>
      <c r="D136">
        <v>56700</v>
      </c>
      <c r="E136" t="s">
        <v>8</v>
      </c>
      <c r="F136" t="s">
        <v>9</v>
      </c>
      <c r="O136">
        <f t="shared" si="7"/>
        <v>0</v>
      </c>
    </row>
    <row r="137" spans="1:15" x14ac:dyDescent="0.25">
      <c r="A137">
        <v>136</v>
      </c>
      <c r="B137" t="s">
        <v>85</v>
      </c>
      <c r="C137" t="s">
        <v>15</v>
      </c>
      <c r="D137">
        <v>9500</v>
      </c>
      <c r="E137" t="s">
        <v>23</v>
      </c>
      <c r="F137" t="s">
        <v>9</v>
      </c>
      <c r="O137">
        <f t="shared" si="7"/>
        <v>0</v>
      </c>
    </row>
    <row r="138" spans="1:15" x14ac:dyDescent="0.25">
      <c r="A138">
        <v>137</v>
      </c>
      <c r="B138" t="s">
        <v>137</v>
      </c>
      <c r="C138" t="s">
        <v>17</v>
      </c>
      <c r="D138">
        <v>28900</v>
      </c>
      <c r="E138" t="s">
        <v>23</v>
      </c>
      <c r="F138" t="s">
        <v>9</v>
      </c>
      <c r="O138">
        <f t="shared" si="7"/>
        <v>0</v>
      </c>
    </row>
    <row r="139" spans="1:15" x14ac:dyDescent="0.25">
      <c r="A139">
        <v>138</v>
      </c>
      <c r="B139" t="s">
        <v>138</v>
      </c>
      <c r="C139" t="s">
        <v>19</v>
      </c>
      <c r="D139">
        <v>103700</v>
      </c>
      <c r="E139" t="s">
        <v>8</v>
      </c>
      <c r="F139" t="s">
        <v>20</v>
      </c>
      <c r="O139">
        <f t="shared" si="7"/>
        <v>0</v>
      </c>
    </row>
    <row r="140" spans="1:15" x14ac:dyDescent="0.25">
      <c r="A140">
        <v>139</v>
      </c>
      <c r="B140" t="s">
        <v>139</v>
      </c>
      <c r="C140" t="s">
        <v>22</v>
      </c>
      <c r="D140">
        <v>63400</v>
      </c>
      <c r="E140" t="s">
        <v>8</v>
      </c>
      <c r="F140" t="s">
        <v>9</v>
      </c>
      <c r="O140">
        <f t="shared" si="7"/>
        <v>0</v>
      </c>
    </row>
    <row r="141" spans="1:15" x14ac:dyDescent="0.25">
      <c r="A141">
        <v>140</v>
      </c>
      <c r="B141" t="s">
        <v>80</v>
      </c>
      <c r="C141" t="s">
        <v>25</v>
      </c>
      <c r="D141">
        <v>32900</v>
      </c>
      <c r="E141" t="s">
        <v>8</v>
      </c>
      <c r="F141" t="s">
        <v>9</v>
      </c>
      <c r="O141">
        <f t="shared" si="7"/>
        <v>0</v>
      </c>
    </row>
    <row r="142" spans="1:15" x14ac:dyDescent="0.25">
      <c r="A142">
        <v>141</v>
      </c>
      <c r="B142" t="s">
        <v>140</v>
      </c>
      <c r="C142" t="s">
        <v>27</v>
      </c>
      <c r="D142">
        <v>15400</v>
      </c>
      <c r="E142" t="s">
        <v>8</v>
      </c>
      <c r="F142" t="s">
        <v>9</v>
      </c>
      <c r="O142">
        <f t="shared" si="7"/>
        <v>0</v>
      </c>
    </row>
    <row r="143" spans="1:15" x14ac:dyDescent="0.25">
      <c r="A143">
        <v>142</v>
      </c>
      <c r="B143" t="s">
        <v>14</v>
      </c>
      <c r="C143" t="s">
        <v>29</v>
      </c>
      <c r="D143">
        <v>231600</v>
      </c>
      <c r="E143" t="s">
        <v>8</v>
      </c>
      <c r="F143" t="s">
        <v>9</v>
      </c>
      <c r="O143">
        <f t="shared" si="7"/>
        <v>0</v>
      </c>
    </row>
    <row r="144" spans="1:15" x14ac:dyDescent="0.25">
      <c r="A144">
        <v>143</v>
      </c>
      <c r="B144" t="s">
        <v>141</v>
      </c>
      <c r="C144" t="s">
        <v>31</v>
      </c>
      <c r="D144">
        <v>32700</v>
      </c>
      <c r="E144" t="s">
        <v>38</v>
      </c>
      <c r="F144" t="s">
        <v>20</v>
      </c>
      <c r="O144">
        <f t="shared" si="7"/>
        <v>0</v>
      </c>
    </row>
    <row r="145" spans="1:15" x14ac:dyDescent="0.25">
      <c r="A145">
        <v>144</v>
      </c>
      <c r="B145" t="s">
        <v>76</v>
      </c>
      <c r="C145" t="s">
        <v>33</v>
      </c>
      <c r="D145">
        <v>5400</v>
      </c>
      <c r="E145" t="s">
        <v>8</v>
      </c>
      <c r="F145" t="s">
        <v>9</v>
      </c>
      <c r="O145">
        <f t="shared" si="7"/>
        <v>0</v>
      </c>
    </row>
    <row r="146" spans="1:15" x14ac:dyDescent="0.25">
      <c r="A146">
        <v>145</v>
      </c>
      <c r="B146" t="s">
        <v>142</v>
      </c>
      <c r="C146" t="s">
        <v>7</v>
      </c>
      <c r="D146">
        <v>94800</v>
      </c>
      <c r="E146" t="s">
        <v>23</v>
      </c>
      <c r="F146" t="s">
        <v>20</v>
      </c>
      <c r="O146">
        <f t="shared" si="7"/>
        <v>0</v>
      </c>
    </row>
    <row r="147" spans="1:15" x14ac:dyDescent="0.25">
      <c r="A147">
        <v>146</v>
      </c>
      <c r="B147" t="s">
        <v>143</v>
      </c>
      <c r="C147" t="s">
        <v>11</v>
      </c>
      <c r="D147">
        <v>7500</v>
      </c>
      <c r="E147" t="s">
        <v>8</v>
      </c>
      <c r="F147" t="s">
        <v>9</v>
      </c>
      <c r="O147">
        <f t="shared" si="7"/>
        <v>0</v>
      </c>
    </row>
    <row r="148" spans="1:15" x14ac:dyDescent="0.25">
      <c r="A148">
        <v>147</v>
      </c>
      <c r="B148" t="s">
        <v>69</v>
      </c>
      <c r="C148" t="s">
        <v>13</v>
      </c>
      <c r="D148">
        <v>29500</v>
      </c>
      <c r="E148" t="s">
        <v>8</v>
      </c>
      <c r="F148" t="s">
        <v>9</v>
      </c>
      <c r="O148">
        <f t="shared" si="7"/>
        <v>0</v>
      </c>
    </row>
    <row r="149" spans="1:15" x14ac:dyDescent="0.25">
      <c r="A149">
        <v>148</v>
      </c>
      <c r="B149" t="s">
        <v>140</v>
      </c>
      <c r="C149" t="s">
        <v>15</v>
      </c>
      <c r="D149">
        <v>34300</v>
      </c>
      <c r="E149" t="s">
        <v>8</v>
      </c>
      <c r="F149" t="s">
        <v>9</v>
      </c>
      <c r="O149">
        <f t="shared" si="7"/>
        <v>0</v>
      </c>
    </row>
    <row r="150" spans="1:15" x14ac:dyDescent="0.25">
      <c r="A150">
        <v>149</v>
      </c>
      <c r="B150" t="s">
        <v>144</v>
      </c>
      <c r="C150" t="s">
        <v>17</v>
      </c>
      <c r="D150">
        <v>13700</v>
      </c>
      <c r="E150" t="s">
        <v>8</v>
      </c>
      <c r="F150" t="s">
        <v>9</v>
      </c>
      <c r="O150">
        <f t="shared" si="7"/>
        <v>0</v>
      </c>
    </row>
    <row r="151" spans="1:15" x14ac:dyDescent="0.25">
      <c r="A151">
        <v>150</v>
      </c>
      <c r="B151" t="s">
        <v>145</v>
      </c>
      <c r="C151" t="s">
        <v>19</v>
      </c>
      <c r="D151">
        <v>41700</v>
      </c>
      <c r="E151" t="s">
        <v>8</v>
      </c>
      <c r="F151" t="s">
        <v>9</v>
      </c>
      <c r="O151">
        <f t="shared" si="7"/>
        <v>0</v>
      </c>
    </row>
    <row r="152" spans="1:15" x14ac:dyDescent="0.25">
      <c r="A152">
        <v>151</v>
      </c>
      <c r="B152" t="s">
        <v>146</v>
      </c>
      <c r="C152" t="s">
        <v>22</v>
      </c>
      <c r="D152">
        <v>21800</v>
      </c>
      <c r="E152" t="s">
        <v>23</v>
      </c>
      <c r="F152" t="s">
        <v>9</v>
      </c>
      <c r="O152">
        <f t="shared" si="7"/>
        <v>0</v>
      </c>
    </row>
    <row r="153" spans="1:15" x14ac:dyDescent="0.25">
      <c r="A153">
        <v>152</v>
      </c>
      <c r="B153" t="s">
        <v>147</v>
      </c>
      <c r="O153">
        <f t="shared" si="7"/>
        <v>0</v>
      </c>
    </row>
    <row r="154" spans="1:15" x14ac:dyDescent="0.25">
      <c r="A154">
        <v>153</v>
      </c>
      <c r="B154" t="s">
        <v>39</v>
      </c>
      <c r="C154" t="s">
        <v>27</v>
      </c>
      <c r="D154">
        <v>79600</v>
      </c>
      <c r="E154" t="s">
        <v>23</v>
      </c>
      <c r="F154" t="s">
        <v>9</v>
      </c>
      <c r="O154">
        <f t="shared" si="7"/>
        <v>0</v>
      </c>
    </row>
    <row r="155" spans="1:15" x14ac:dyDescent="0.25">
      <c r="A155">
        <v>154</v>
      </c>
      <c r="B155" t="s">
        <v>148</v>
      </c>
      <c r="C155" t="s">
        <v>29</v>
      </c>
      <c r="D155">
        <v>52800</v>
      </c>
      <c r="E155" t="s">
        <v>8</v>
      </c>
      <c r="F155" t="s">
        <v>20</v>
      </c>
      <c r="O155">
        <f t="shared" si="7"/>
        <v>0</v>
      </c>
    </row>
    <row r="156" spans="1:15" x14ac:dyDescent="0.25">
      <c r="A156">
        <v>155</v>
      </c>
      <c r="B156" t="s">
        <v>103</v>
      </c>
      <c r="C156" t="s">
        <v>31</v>
      </c>
      <c r="D156">
        <v>42400</v>
      </c>
      <c r="E156" t="s">
        <v>38</v>
      </c>
      <c r="F156" t="s">
        <v>20</v>
      </c>
      <c r="O156">
        <f t="shared" si="7"/>
        <v>0</v>
      </c>
    </row>
    <row r="157" spans="1:15" x14ac:dyDescent="0.25">
      <c r="A157">
        <v>156</v>
      </c>
      <c r="B157" t="s">
        <v>96</v>
      </c>
      <c r="C157" t="s">
        <v>33</v>
      </c>
      <c r="D157">
        <v>21100</v>
      </c>
      <c r="E157" t="s">
        <v>38</v>
      </c>
      <c r="F157" t="s">
        <v>20</v>
      </c>
      <c r="O157">
        <f t="shared" si="7"/>
        <v>0</v>
      </c>
    </row>
    <row r="158" spans="1:15" x14ac:dyDescent="0.25">
      <c r="A158">
        <v>157</v>
      </c>
      <c r="B158" t="s">
        <v>149</v>
      </c>
      <c r="C158" t="s">
        <v>7</v>
      </c>
      <c r="D158">
        <v>97400</v>
      </c>
      <c r="E158" t="s">
        <v>8</v>
      </c>
      <c r="F158" t="s">
        <v>9</v>
      </c>
      <c r="O158">
        <f t="shared" si="7"/>
        <v>0</v>
      </c>
    </row>
    <row r="159" spans="1:15" x14ac:dyDescent="0.25">
      <c r="A159">
        <v>158</v>
      </c>
      <c r="B159" t="s">
        <v>150</v>
      </c>
      <c r="C159" t="s">
        <v>11</v>
      </c>
      <c r="D159">
        <v>19000</v>
      </c>
      <c r="E159" t="s">
        <v>38</v>
      </c>
      <c r="F159" t="s">
        <v>20</v>
      </c>
      <c r="O159">
        <f t="shared" si="7"/>
        <v>0</v>
      </c>
    </row>
    <row r="160" spans="1:15" x14ac:dyDescent="0.25">
      <c r="A160">
        <v>159</v>
      </c>
      <c r="B160" t="s">
        <v>129</v>
      </c>
      <c r="C160" t="s">
        <v>13</v>
      </c>
      <c r="D160">
        <v>179600</v>
      </c>
      <c r="E160" t="s">
        <v>8</v>
      </c>
      <c r="F160" t="s">
        <v>20</v>
      </c>
      <c r="O160">
        <f t="shared" si="7"/>
        <v>0</v>
      </c>
    </row>
    <row r="161" spans="1:15" x14ac:dyDescent="0.25">
      <c r="A161">
        <v>160</v>
      </c>
      <c r="B161" t="s">
        <v>151</v>
      </c>
      <c r="C161" t="s">
        <v>15</v>
      </c>
      <c r="D161">
        <v>37900</v>
      </c>
      <c r="E161" t="s">
        <v>23</v>
      </c>
      <c r="F161" t="s">
        <v>20</v>
      </c>
      <c r="O161">
        <f t="shared" si="7"/>
        <v>0</v>
      </c>
    </row>
    <row r="162" spans="1:15" x14ac:dyDescent="0.25">
      <c r="A162">
        <v>161</v>
      </c>
      <c r="B162" t="s">
        <v>152</v>
      </c>
      <c r="C162" t="s">
        <v>17</v>
      </c>
      <c r="D162">
        <v>243300</v>
      </c>
      <c r="E162" t="s">
        <v>8</v>
      </c>
      <c r="F162" t="s">
        <v>9</v>
      </c>
      <c r="O162">
        <f t="shared" si="7"/>
        <v>0</v>
      </c>
    </row>
    <row r="163" spans="1:15" x14ac:dyDescent="0.25">
      <c r="A163">
        <v>162</v>
      </c>
      <c r="B163" t="s">
        <v>59</v>
      </c>
      <c r="C163" t="s">
        <v>19</v>
      </c>
      <c r="D163">
        <v>29700</v>
      </c>
      <c r="E163" t="s">
        <v>8</v>
      </c>
      <c r="F163" t="s">
        <v>9</v>
      </c>
      <c r="O163">
        <f t="shared" si="7"/>
        <v>0</v>
      </c>
    </row>
    <row r="164" spans="1:15" x14ac:dyDescent="0.25">
      <c r="A164">
        <v>163</v>
      </c>
      <c r="B164" t="s">
        <v>153</v>
      </c>
      <c r="C164" t="s">
        <v>22</v>
      </c>
      <c r="D164">
        <v>28600</v>
      </c>
      <c r="E164" t="s">
        <v>8</v>
      </c>
      <c r="F164" t="s">
        <v>9</v>
      </c>
      <c r="O164">
        <f t="shared" si="7"/>
        <v>0</v>
      </c>
    </row>
    <row r="165" spans="1:15" x14ac:dyDescent="0.25">
      <c r="A165">
        <v>164</v>
      </c>
      <c r="B165" t="s">
        <v>154</v>
      </c>
      <c r="C165" t="s">
        <v>25</v>
      </c>
      <c r="D165">
        <v>52400</v>
      </c>
      <c r="E165" t="s">
        <v>8</v>
      </c>
      <c r="F165" t="s">
        <v>9</v>
      </c>
      <c r="O165">
        <f t="shared" si="7"/>
        <v>0</v>
      </c>
    </row>
    <row r="166" spans="1:15" x14ac:dyDescent="0.25">
      <c r="A166">
        <v>165</v>
      </c>
      <c r="B166" t="s">
        <v>155</v>
      </c>
      <c r="C166" t="s">
        <v>27</v>
      </c>
      <c r="D166">
        <v>67800</v>
      </c>
      <c r="E166" t="s">
        <v>8</v>
      </c>
      <c r="F166" t="s">
        <v>9</v>
      </c>
      <c r="O166">
        <f t="shared" si="7"/>
        <v>0</v>
      </c>
    </row>
    <row r="167" spans="1:15" x14ac:dyDescent="0.25">
      <c r="A167">
        <v>166</v>
      </c>
      <c r="B167" t="s">
        <v>49</v>
      </c>
      <c r="C167" t="s">
        <v>29</v>
      </c>
      <c r="D167">
        <v>139700</v>
      </c>
      <c r="E167" t="s">
        <v>8</v>
      </c>
      <c r="F167" t="s">
        <v>9</v>
      </c>
      <c r="O167">
        <f t="shared" si="7"/>
        <v>0</v>
      </c>
    </row>
    <row r="168" spans="1:15" x14ac:dyDescent="0.25">
      <c r="A168">
        <v>167</v>
      </c>
      <c r="B168" t="s">
        <v>156</v>
      </c>
      <c r="C168" t="s">
        <v>31</v>
      </c>
      <c r="D168">
        <v>41600</v>
      </c>
      <c r="E168" t="s">
        <v>8</v>
      </c>
      <c r="F168" t="s">
        <v>9</v>
      </c>
      <c r="O168">
        <f t="shared" si="7"/>
        <v>0</v>
      </c>
    </row>
    <row r="169" spans="1:15" x14ac:dyDescent="0.25">
      <c r="A169">
        <v>168</v>
      </c>
      <c r="B169" t="s">
        <v>157</v>
      </c>
      <c r="C169" t="s">
        <v>33</v>
      </c>
      <c r="D169">
        <v>68100</v>
      </c>
      <c r="E169" t="s">
        <v>8</v>
      </c>
      <c r="F169" t="s">
        <v>9</v>
      </c>
      <c r="O169">
        <f t="shared" si="7"/>
        <v>0</v>
      </c>
    </row>
    <row r="170" spans="1:15" x14ac:dyDescent="0.25">
      <c r="A170">
        <v>169</v>
      </c>
      <c r="B170" t="s">
        <v>53</v>
      </c>
      <c r="C170" t="s">
        <v>7</v>
      </c>
      <c r="D170">
        <v>62000</v>
      </c>
      <c r="E170" t="s">
        <v>8</v>
      </c>
      <c r="F170" t="s">
        <v>9</v>
      </c>
      <c r="O170">
        <f t="shared" si="7"/>
        <v>0</v>
      </c>
    </row>
    <row r="171" spans="1:15" x14ac:dyDescent="0.25">
      <c r="A171">
        <v>170</v>
      </c>
      <c r="B171" t="s">
        <v>158</v>
      </c>
      <c r="C171" t="s">
        <v>11</v>
      </c>
      <c r="D171">
        <v>15500</v>
      </c>
      <c r="E171" t="s">
        <v>23</v>
      </c>
      <c r="F171" t="s">
        <v>9</v>
      </c>
      <c r="O171">
        <f t="shared" si="7"/>
        <v>0</v>
      </c>
    </row>
    <row r="172" spans="1:15" x14ac:dyDescent="0.25">
      <c r="A172">
        <v>171</v>
      </c>
      <c r="B172" t="s">
        <v>159</v>
      </c>
      <c r="C172" t="s">
        <v>13</v>
      </c>
      <c r="D172">
        <v>53300</v>
      </c>
      <c r="E172" t="s">
        <v>8</v>
      </c>
      <c r="F172" t="s">
        <v>9</v>
      </c>
      <c r="O172">
        <f t="shared" si="7"/>
        <v>0</v>
      </c>
    </row>
    <row r="173" spans="1:15" x14ac:dyDescent="0.25">
      <c r="A173">
        <v>172</v>
      </c>
      <c r="B173" t="s">
        <v>128</v>
      </c>
      <c r="C173" t="s">
        <v>15</v>
      </c>
      <c r="D173">
        <v>9200</v>
      </c>
      <c r="E173" t="s">
        <v>23</v>
      </c>
      <c r="F173" t="s">
        <v>9</v>
      </c>
      <c r="O173">
        <f t="shared" si="7"/>
        <v>0</v>
      </c>
    </row>
    <row r="174" spans="1:15" x14ac:dyDescent="0.25">
      <c r="A174">
        <v>173</v>
      </c>
      <c r="B174" t="s">
        <v>160</v>
      </c>
      <c r="C174" t="s">
        <v>17</v>
      </c>
      <c r="D174">
        <v>18300</v>
      </c>
      <c r="E174" t="s">
        <v>23</v>
      </c>
      <c r="F174" t="s">
        <v>20</v>
      </c>
      <c r="O174">
        <f t="shared" si="7"/>
        <v>0</v>
      </c>
    </row>
    <row r="175" spans="1:15" x14ac:dyDescent="0.25">
      <c r="A175">
        <v>174</v>
      </c>
      <c r="B175" t="s">
        <v>155</v>
      </c>
      <c r="C175" t="s">
        <v>19</v>
      </c>
      <c r="D175">
        <v>28200</v>
      </c>
      <c r="E175" t="s">
        <v>8</v>
      </c>
      <c r="F175" t="s">
        <v>9</v>
      </c>
      <c r="O175">
        <f t="shared" si="7"/>
        <v>0</v>
      </c>
    </row>
    <row r="176" spans="1:15" x14ac:dyDescent="0.25">
      <c r="A176">
        <v>175</v>
      </c>
      <c r="B176" t="s">
        <v>161</v>
      </c>
      <c r="C176" t="s">
        <v>22</v>
      </c>
      <c r="D176">
        <v>130700</v>
      </c>
      <c r="E176" t="s">
        <v>8</v>
      </c>
      <c r="F176" t="s">
        <v>9</v>
      </c>
      <c r="O176">
        <f t="shared" si="7"/>
        <v>0</v>
      </c>
    </row>
    <row r="177" spans="1:15" x14ac:dyDescent="0.25">
      <c r="A177">
        <v>176</v>
      </c>
      <c r="B177" t="s">
        <v>6</v>
      </c>
      <c r="C177" t="s">
        <v>25</v>
      </c>
      <c r="D177">
        <v>36300</v>
      </c>
      <c r="E177" t="s">
        <v>8</v>
      </c>
      <c r="F177" t="s">
        <v>9</v>
      </c>
      <c r="O177">
        <f t="shared" si="7"/>
        <v>0</v>
      </c>
    </row>
    <row r="178" spans="1:15" x14ac:dyDescent="0.25">
      <c r="A178">
        <v>177</v>
      </c>
      <c r="B178" t="s">
        <v>162</v>
      </c>
      <c r="C178" t="s">
        <v>27</v>
      </c>
      <c r="D178">
        <v>100200</v>
      </c>
      <c r="E178" t="s">
        <v>23</v>
      </c>
      <c r="F178" t="s">
        <v>9</v>
      </c>
      <c r="O178">
        <f t="shared" si="7"/>
        <v>0</v>
      </c>
    </row>
    <row r="179" spans="1:15" x14ac:dyDescent="0.25">
      <c r="A179">
        <v>178</v>
      </c>
      <c r="B179" t="s">
        <v>18</v>
      </c>
      <c r="C179" t="s">
        <v>29</v>
      </c>
      <c r="D179">
        <v>31500</v>
      </c>
      <c r="E179" t="s">
        <v>38</v>
      </c>
      <c r="F179" t="s">
        <v>20</v>
      </c>
      <c r="O179">
        <f t="shared" ref="O179:O242" si="8">N179*N179</f>
        <v>0</v>
      </c>
    </row>
    <row r="180" spans="1:15" x14ac:dyDescent="0.25">
      <c r="A180">
        <v>179</v>
      </c>
      <c r="B180" t="s">
        <v>51</v>
      </c>
      <c r="C180" t="s">
        <v>31</v>
      </c>
      <c r="D180">
        <v>75800</v>
      </c>
      <c r="E180" t="s">
        <v>8</v>
      </c>
      <c r="F180" t="s">
        <v>9</v>
      </c>
      <c r="O180">
        <f t="shared" si="8"/>
        <v>0</v>
      </c>
    </row>
    <row r="181" spans="1:15" x14ac:dyDescent="0.25">
      <c r="A181">
        <v>180</v>
      </c>
      <c r="B181" t="s">
        <v>155</v>
      </c>
      <c r="C181" t="s">
        <v>33</v>
      </c>
      <c r="D181">
        <v>9800</v>
      </c>
      <c r="E181" t="s">
        <v>8</v>
      </c>
      <c r="F181" t="s">
        <v>9</v>
      </c>
      <c r="O181">
        <f t="shared" si="8"/>
        <v>0</v>
      </c>
    </row>
    <row r="182" spans="1:15" x14ac:dyDescent="0.25">
      <c r="A182">
        <v>181</v>
      </c>
      <c r="B182" t="s">
        <v>149</v>
      </c>
      <c r="C182" t="s">
        <v>7</v>
      </c>
      <c r="D182">
        <v>47400</v>
      </c>
      <c r="E182" t="s">
        <v>8</v>
      </c>
      <c r="F182" t="s">
        <v>9</v>
      </c>
      <c r="O182">
        <f t="shared" si="8"/>
        <v>0</v>
      </c>
    </row>
    <row r="183" spans="1:15" x14ac:dyDescent="0.25">
      <c r="A183">
        <v>182</v>
      </c>
      <c r="B183" t="s">
        <v>163</v>
      </c>
      <c r="C183" t="s">
        <v>11</v>
      </c>
      <c r="D183">
        <v>21200</v>
      </c>
      <c r="E183" t="s">
        <v>8</v>
      </c>
      <c r="F183" t="s">
        <v>9</v>
      </c>
      <c r="O183">
        <f t="shared" si="8"/>
        <v>0</v>
      </c>
    </row>
    <row r="184" spans="1:15" x14ac:dyDescent="0.25">
      <c r="A184">
        <v>183</v>
      </c>
      <c r="B184" t="s">
        <v>164</v>
      </c>
      <c r="C184" t="s">
        <v>13</v>
      </c>
      <c r="D184">
        <v>62100</v>
      </c>
      <c r="E184" t="s">
        <v>38</v>
      </c>
      <c r="F184" t="s">
        <v>20</v>
      </c>
      <c r="O184">
        <f t="shared" si="8"/>
        <v>0</v>
      </c>
    </row>
    <row r="185" spans="1:15" x14ac:dyDescent="0.25">
      <c r="A185">
        <v>184</v>
      </c>
      <c r="B185" t="s">
        <v>60</v>
      </c>
      <c r="C185" t="s">
        <v>15</v>
      </c>
      <c r="D185">
        <v>21400</v>
      </c>
      <c r="E185" t="s">
        <v>8</v>
      </c>
      <c r="F185" t="s">
        <v>9</v>
      </c>
      <c r="O185">
        <f t="shared" si="8"/>
        <v>0</v>
      </c>
    </row>
    <row r="186" spans="1:15" x14ac:dyDescent="0.25">
      <c r="A186">
        <v>185</v>
      </c>
      <c r="B186" t="s">
        <v>165</v>
      </c>
      <c r="C186" t="s">
        <v>17</v>
      </c>
      <c r="D186">
        <v>9100</v>
      </c>
      <c r="E186" t="s">
        <v>23</v>
      </c>
      <c r="F186" t="s">
        <v>9</v>
      </c>
      <c r="O186">
        <f t="shared" si="8"/>
        <v>0</v>
      </c>
    </row>
    <row r="187" spans="1:15" x14ac:dyDescent="0.25">
      <c r="A187">
        <v>186</v>
      </c>
      <c r="B187" t="s">
        <v>166</v>
      </c>
      <c r="C187" t="s">
        <v>19</v>
      </c>
      <c r="D187">
        <v>11600</v>
      </c>
      <c r="E187" t="s">
        <v>8</v>
      </c>
      <c r="F187" t="s">
        <v>9</v>
      </c>
      <c r="O187">
        <f t="shared" si="8"/>
        <v>0</v>
      </c>
    </row>
    <row r="188" spans="1:15" x14ac:dyDescent="0.25">
      <c r="A188">
        <v>187</v>
      </c>
      <c r="B188" t="s">
        <v>167</v>
      </c>
      <c r="C188" t="s">
        <v>22</v>
      </c>
      <c r="D188">
        <v>67100</v>
      </c>
      <c r="E188" t="s">
        <v>8</v>
      </c>
      <c r="F188" t="s">
        <v>9</v>
      </c>
      <c r="O188">
        <f t="shared" si="8"/>
        <v>0</v>
      </c>
    </row>
    <row r="189" spans="1:15" x14ac:dyDescent="0.25">
      <c r="A189">
        <v>188</v>
      </c>
      <c r="B189" t="s">
        <v>168</v>
      </c>
      <c r="C189" t="s">
        <v>25</v>
      </c>
      <c r="D189">
        <v>21500</v>
      </c>
      <c r="E189" t="s">
        <v>8</v>
      </c>
      <c r="F189" t="s">
        <v>9</v>
      </c>
      <c r="O189">
        <f t="shared" si="8"/>
        <v>0</v>
      </c>
    </row>
    <row r="190" spans="1:15" x14ac:dyDescent="0.25">
      <c r="A190">
        <v>189</v>
      </c>
      <c r="B190" t="s">
        <v>169</v>
      </c>
      <c r="C190" t="s">
        <v>27</v>
      </c>
      <c r="D190">
        <v>44500</v>
      </c>
      <c r="E190" t="s">
        <v>8</v>
      </c>
      <c r="F190" t="s">
        <v>9</v>
      </c>
      <c r="O190">
        <f t="shared" si="8"/>
        <v>0</v>
      </c>
    </row>
    <row r="191" spans="1:15" x14ac:dyDescent="0.25">
      <c r="A191">
        <v>190</v>
      </c>
      <c r="B191" t="s">
        <v>170</v>
      </c>
      <c r="O191">
        <f t="shared" si="8"/>
        <v>0</v>
      </c>
    </row>
    <row r="192" spans="1:15" x14ac:dyDescent="0.25">
      <c r="A192">
        <v>191</v>
      </c>
      <c r="B192" t="s">
        <v>30</v>
      </c>
      <c r="C192" t="s">
        <v>31</v>
      </c>
      <c r="D192">
        <v>48200</v>
      </c>
      <c r="E192" t="s">
        <v>8</v>
      </c>
      <c r="F192" t="s">
        <v>9</v>
      </c>
      <c r="O192">
        <f t="shared" si="8"/>
        <v>0</v>
      </c>
    </row>
    <row r="193" spans="1:15" x14ac:dyDescent="0.25">
      <c r="A193">
        <v>192</v>
      </c>
      <c r="B193" t="s">
        <v>171</v>
      </c>
      <c r="C193" t="s">
        <v>33</v>
      </c>
      <c r="D193">
        <v>34500</v>
      </c>
      <c r="E193" t="s">
        <v>8</v>
      </c>
      <c r="F193" t="s">
        <v>9</v>
      </c>
      <c r="O193">
        <f t="shared" si="8"/>
        <v>0</v>
      </c>
    </row>
    <row r="194" spans="1:15" x14ac:dyDescent="0.25">
      <c r="A194">
        <v>193</v>
      </c>
      <c r="B194" t="s">
        <v>164</v>
      </c>
      <c r="C194" t="s">
        <v>7</v>
      </c>
      <c r="D194">
        <v>12000</v>
      </c>
      <c r="E194" t="s">
        <v>8</v>
      </c>
      <c r="F194" t="s">
        <v>20</v>
      </c>
      <c r="O194">
        <f t="shared" si="8"/>
        <v>0</v>
      </c>
    </row>
    <row r="195" spans="1:15" x14ac:dyDescent="0.25">
      <c r="A195">
        <v>194</v>
      </c>
      <c r="B195" t="s">
        <v>172</v>
      </c>
      <c r="C195" t="s">
        <v>11</v>
      </c>
      <c r="D195">
        <v>103900</v>
      </c>
      <c r="E195" t="s">
        <v>38</v>
      </c>
      <c r="F195" t="s">
        <v>20</v>
      </c>
      <c r="O195">
        <f t="shared" si="8"/>
        <v>0</v>
      </c>
    </row>
    <row r="196" spans="1:15" x14ac:dyDescent="0.25">
      <c r="A196">
        <v>195</v>
      </c>
      <c r="B196" t="s">
        <v>161</v>
      </c>
      <c r="C196" t="s">
        <v>13</v>
      </c>
      <c r="D196">
        <v>56600</v>
      </c>
      <c r="E196" t="s">
        <v>8</v>
      </c>
      <c r="F196" t="s">
        <v>9</v>
      </c>
      <c r="O196">
        <f t="shared" si="8"/>
        <v>0</v>
      </c>
    </row>
    <row r="197" spans="1:15" x14ac:dyDescent="0.25">
      <c r="A197">
        <v>196</v>
      </c>
      <c r="B197" t="s">
        <v>59</v>
      </c>
      <c r="C197" t="s">
        <v>15</v>
      </c>
      <c r="D197">
        <v>11300</v>
      </c>
      <c r="E197" t="s">
        <v>23</v>
      </c>
      <c r="F197" t="s">
        <v>9</v>
      </c>
      <c r="O197">
        <f t="shared" si="8"/>
        <v>0</v>
      </c>
    </row>
    <row r="198" spans="1:15" x14ac:dyDescent="0.25">
      <c r="A198">
        <v>197</v>
      </c>
      <c r="B198" t="s">
        <v>173</v>
      </c>
      <c r="C198" t="s">
        <v>17</v>
      </c>
      <c r="D198">
        <v>17700</v>
      </c>
      <c r="E198" t="s">
        <v>23</v>
      </c>
      <c r="F198" t="s">
        <v>9</v>
      </c>
      <c r="O198">
        <f t="shared" si="8"/>
        <v>0</v>
      </c>
    </row>
    <row r="199" spans="1:15" x14ac:dyDescent="0.25">
      <c r="A199">
        <v>198</v>
      </c>
      <c r="B199" t="s">
        <v>174</v>
      </c>
      <c r="C199" t="s">
        <v>19</v>
      </c>
      <c r="D199">
        <v>37800</v>
      </c>
      <c r="E199" t="s">
        <v>8</v>
      </c>
      <c r="F199" t="s">
        <v>9</v>
      </c>
      <c r="O199">
        <f t="shared" si="8"/>
        <v>0</v>
      </c>
    </row>
    <row r="200" spans="1:15" x14ac:dyDescent="0.25">
      <c r="A200">
        <v>199</v>
      </c>
      <c r="B200" t="s">
        <v>28</v>
      </c>
      <c r="O200">
        <f t="shared" si="8"/>
        <v>0</v>
      </c>
    </row>
    <row r="201" spans="1:15" x14ac:dyDescent="0.25">
      <c r="A201">
        <v>200</v>
      </c>
      <c r="B201" t="s">
        <v>119</v>
      </c>
      <c r="C201" t="s">
        <v>25</v>
      </c>
      <c r="D201">
        <v>34700</v>
      </c>
      <c r="E201" t="s">
        <v>8</v>
      </c>
      <c r="F201" t="s">
        <v>9</v>
      </c>
      <c r="O201">
        <f t="shared" si="8"/>
        <v>0</v>
      </c>
    </row>
    <row r="202" spans="1:15" x14ac:dyDescent="0.25">
      <c r="A202">
        <v>201</v>
      </c>
      <c r="B202" t="s">
        <v>175</v>
      </c>
      <c r="C202" t="s">
        <v>27</v>
      </c>
      <c r="D202">
        <v>16800</v>
      </c>
      <c r="E202" t="s">
        <v>8</v>
      </c>
      <c r="F202" t="s">
        <v>9</v>
      </c>
      <c r="O202">
        <f t="shared" si="8"/>
        <v>0</v>
      </c>
    </row>
    <row r="203" spans="1:15" x14ac:dyDescent="0.25">
      <c r="A203">
        <v>202</v>
      </c>
      <c r="B203" t="s">
        <v>114</v>
      </c>
      <c r="C203" t="s">
        <v>29</v>
      </c>
      <c r="D203">
        <v>63700</v>
      </c>
      <c r="E203" t="s">
        <v>8</v>
      </c>
      <c r="F203" t="s">
        <v>9</v>
      </c>
      <c r="O203">
        <f t="shared" si="8"/>
        <v>0</v>
      </c>
    </row>
    <row r="204" spans="1:15" x14ac:dyDescent="0.25">
      <c r="A204">
        <v>203</v>
      </c>
      <c r="B204" t="s">
        <v>176</v>
      </c>
      <c r="C204" t="s">
        <v>31</v>
      </c>
      <c r="D204">
        <v>46000</v>
      </c>
      <c r="E204" t="s">
        <v>23</v>
      </c>
      <c r="F204" t="s">
        <v>9</v>
      </c>
      <c r="O204">
        <f t="shared" si="8"/>
        <v>0</v>
      </c>
    </row>
    <row r="205" spans="1:15" x14ac:dyDescent="0.25">
      <c r="A205">
        <v>204</v>
      </c>
      <c r="B205" t="s">
        <v>71</v>
      </c>
      <c r="C205" t="s">
        <v>33</v>
      </c>
      <c r="D205">
        <v>61900</v>
      </c>
      <c r="E205" t="s">
        <v>8</v>
      </c>
      <c r="F205" t="s">
        <v>9</v>
      </c>
      <c r="O205">
        <f t="shared" si="8"/>
        <v>0</v>
      </c>
    </row>
    <row r="206" spans="1:15" x14ac:dyDescent="0.25">
      <c r="A206">
        <v>205</v>
      </c>
      <c r="B206" t="s">
        <v>58</v>
      </c>
      <c r="C206" t="s">
        <v>7</v>
      </c>
      <c r="D206">
        <v>18600</v>
      </c>
      <c r="E206" t="s">
        <v>38</v>
      </c>
      <c r="F206" t="s">
        <v>20</v>
      </c>
      <c r="O206">
        <f t="shared" si="8"/>
        <v>0</v>
      </c>
    </row>
    <row r="207" spans="1:15" x14ac:dyDescent="0.25">
      <c r="A207">
        <v>206</v>
      </c>
      <c r="B207" t="s">
        <v>85</v>
      </c>
      <c r="C207" t="s">
        <v>11</v>
      </c>
      <c r="D207">
        <v>61400</v>
      </c>
      <c r="E207" t="s">
        <v>8</v>
      </c>
      <c r="F207" t="s">
        <v>9</v>
      </c>
      <c r="O207">
        <f t="shared" si="8"/>
        <v>0</v>
      </c>
    </row>
    <row r="208" spans="1:15" x14ac:dyDescent="0.25">
      <c r="A208">
        <v>207</v>
      </c>
      <c r="B208" t="s">
        <v>177</v>
      </c>
      <c r="C208" t="s">
        <v>13</v>
      </c>
      <c r="D208">
        <v>5000</v>
      </c>
      <c r="E208" t="s">
        <v>23</v>
      </c>
      <c r="F208" t="s">
        <v>20</v>
      </c>
      <c r="O208">
        <f t="shared" si="8"/>
        <v>0</v>
      </c>
    </row>
    <row r="209" spans="1:15" x14ac:dyDescent="0.25">
      <c r="A209">
        <v>208</v>
      </c>
      <c r="B209" t="s">
        <v>138</v>
      </c>
      <c r="C209" t="s">
        <v>15</v>
      </c>
      <c r="D209">
        <v>47800</v>
      </c>
      <c r="E209" t="s">
        <v>8</v>
      </c>
      <c r="F209" t="s">
        <v>9</v>
      </c>
      <c r="O209">
        <f t="shared" si="8"/>
        <v>0</v>
      </c>
    </row>
    <row r="210" spans="1:15" x14ac:dyDescent="0.25">
      <c r="A210">
        <v>209</v>
      </c>
      <c r="B210" t="s">
        <v>178</v>
      </c>
      <c r="C210" t="s">
        <v>17</v>
      </c>
      <c r="D210">
        <v>11800</v>
      </c>
      <c r="E210" t="s">
        <v>8</v>
      </c>
      <c r="F210" t="s">
        <v>9</v>
      </c>
      <c r="O210">
        <f t="shared" si="8"/>
        <v>0</v>
      </c>
    </row>
    <row r="211" spans="1:15" x14ac:dyDescent="0.25">
      <c r="A211">
        <v>210</v>
      </c>
      <c r="B211" t="s">
        <v>179</v>
      </c>
      <c r="C211" t="s">
        <v>19</v>
      </c>
      <c r="D211">
        <v>9800</v>
      </c>
      <c r="E211" t="s">
        <v>8</v>
      </c>
      <c r="F211" t="s">
        <v>9</v>
      </c>
      <c r="O211">
        <f t="shared" si="8"/>
        <v>0</v>
      </c>
    </row>
    <row r="212" spans="1:15" x14ac:dyDescent="0.25">
      <c r="A212">
        <v>211</v>
      </c>
      <c r="B212" t="s">
        <v>180</v>
      </c>
      <c r="C212" t="s">
        <v>22</v>
      </c>
      <c r="D212">
        <v>16300</v>
      </c>
      <c r="E212" t="s">
        <v>8</v>
      </c>
      <c r="F212" t="s">
        <v>9</v>
      </c>
      <c r="O212">
        <f t="shared" si="8"/>
        <v>0</v>
      </c>
    </row>
    <row r="213" spans="1:15" x14ac:dyDescent="0.25">
      <c r="A213">
        <v>212</v>
      </c>
      <c r="B213" t="s">
        <v>181</v>
      </c>
      <c r="C213" t="s">
        <v>25</v>
      </c>
      <c r="D213">
        <v>25800</v>
      </c>
      <c r="E213" t="s">
        <v>23</v>
      </c>
      <c r="F213" t="s">
        <v>9</v>
      </c>
      <c r="O213">
        <f t="shared" si="8"/>
        <v>0</v>
      </c>
    </row>
    <row r="214" spans="1:15" x14ac:dyDescent="0.25">
      <c r="A214">
        <v>213</v>
      </c>
      <c r="B214" t="s">
        <v>157</v>
      </c>
      <c r="C214" t="s">
        <v>27</v>
      </c>
      <c r="D214">
        <v>25000</v>
      </c>
      <c r="E214" t="s">
        <v>38</v>
      </c>
      <c r="F214" t="s">
        <v>20</v>
      </c>
      <c r="O214">
        <f t="shared" si="8"/>
        <v>0</v>
      </c>
    </row>
    <row r="215" spans="1:15" x14ac:dyDescent="0.25">
      <c r="A215">
        <v>214</v>
      </c>
      <c r="B215" t="s">
        <v>130</v>
      </c>
      <c r="C215" t="s">
        <v>29</v>
      </c>
      <c r="D215">
        <v>52400</v>
      </c>
      <c r="E215" t="s">
        <v>8</v>
      </c>
      <c r="F215" t="s">
        <v>9</v>
      </c>
      <c r="O215">
        <f t="shared" si="8"/>
        <v>0</v>
      </c>
    </row>
    <row r="216" spans="1:15" x14ac:dyDescent="0.25">
      <c r="A216">
        <v>215</v>
      </c>
      <c r="B216" t="s">
        <v>182</v>
      </c>
      <c r="C216" t="s">
        <v>31</v>
      </c>
      <c r="D216">
        <v>14200</v>
      </c>
      <c r="E216" t="s">
        <v>8</v>
      </c>
      <c r="F216" t="s">
        <v>9</v>
      </c>
      <c r="O216">
        <f t="shared" si="8"/>
        <v>0</v>
      </c>
    </row>
    <row r="217" spans="1:15" x14ac:dyDescent="0.25">
      <c r="A217">
        <v>216</v>
      </c>
      <c r="B217" t="s">
        <v>39</v>
      </c>
      <c r="C217" t="s">
        <v>33</v>
      </c>
      <c r="D217">
        <v>41200</v>
      </c>
      <c r="E217" t="s">
        <v>8</v>
      </c>
      <c r="F217" t="s">
        <v>9</v>
      </c>
      <c r="O217">
        <f t="shared" si="8"/>
        <v>0</v>
      </c>
    </row>
    <row r="218" spans="1:15" x14ac:dyDescent="0.25">
      <c r="A218">
        <v>217</v>
      </c>
      <c r="B218" t="s">
        <v>183</v>
      </c>
      <c r="C218" t="s">
        <v>7</v>
      </c>
      <c r="D218">
        <v>21400</v>
      </c>
      <c r="E218" t="s">
        <v>8</v>
      </c>
      <c r="F218" t="s">
        <v>9</v>
      </c>
      <c r="O218">
        <f t="shared" si="8"/>
        <v>0</v>
      </c>
    </row>
    <row r="219" spans="1:15" x14ac:dyDescent="0.25">
      <c r="A219">
        <v>218</v>
      </c>
      <c r="B219" t="s">
        <v>138</v>
      </c>
      <c r="C219" t="s">
        <v>11</v>
      </c>
      <c r="D219">
        <v>45100</v>
      </c>
      <c r="E219" t="s">
        <v>8</v>
      </c>
      <c r="F219" t="s">
        <v>9</v>
      </c>
      <c r="O219">
        <f t="shared" si="8"/>
        <v>0</v>
      </c>
    </row>
    <row r="220" spans="1:15" x14ac:dyDescent="0.25">
      <c r="A220">
        <v>219</v>
      </c>
      <c r="B220" t="s">
        <v>87</v>
      </c>
      <c r="C220" t="s">
        <v>13</v>
      </c>
      <c r="D220">
        <v>77700</v>
      </c>
      <c r="E220" t="s">
        <v>8</v>
      </c>
      <c r="F220" t="s">
        <v>9</v>
      </c>
      <c r="O220">
        <f t="shared" si="8"/>
        <v>0</v>
      </c>
    </row>
    <row r="221" spans="1:15" x14ac:dyDescent="0.25">
      <c r="A221">
        <v>220</v>
      </c>
      <c r="B221" t="s">
        <v>80</v>
      </c>
      <c r="C221" t="s">
        <v>15</v>
      </c>
      <c r="D221">
        <v>95200</v>
      </c>
      <c r="E221" t="s">
        <v>8</v>
      </c>
      <c r="F221" t="s">
        <v>9</v>
      </c>
      <c r="O221">
        <f t="shared" si="8"/>
        <v>0</v>
      </c>
    </row>
    <row r="222" spans="1:15" x14ac:dyDescent="0.25">
      <c r="A222">
        <v>221</v>
      </c>
      <c r="B222" t="s">
        <v>76</v>
      </c>
      <c r="C222" t="s">
        <v>17</v>
      </c>
      <c r="D222">
        <v>124800</v>
      </c>
      <c r="E222" t="s">
        <v>8</v>
      </c>
      <c r="F222" t="s">
        <v>9</v>
      </c>
      <c r="O222">
        <f t="shared" si="8"/>
        <v>0</v>
      </c>
    </row>
    <row r="223" spans="1:15" x14ac:dyDescent="0.25">
      <c r="A223">
        <v>222</v>
      </c>
      <c r="B223" t="s">
        <v>47</v>
      </c>
      <c r="C223" t="s">
        <v>19</v>
      </c>
      <c r="D223">
        <v>10200</v>
      </c>
      <c r="E223" t="s">
        <v>38</v>
      </c>
      <c r="F223" t="s">
        <v>20</v>
      </c>
      <c r="O223">
        <f t="shared" si="8"/>
        <v>0</v>
      </c>
    </row>
    <row r="224" spans="1:15" x14ac:dyDescent="0.25">
      <c r="A224">
        <v>223</v>
      </c>
      <c r="B224" t="s">
        <v>184</v>
      </c>
      <c r="C224" t="s">
        <v>22</v>
      </c>
      <c r="D224">
        <v>30300</v>
      </c>
      <c r="E224" t="s">
        <v>8</v>
      </c>
      <c r="F224" t="s">
        <v>9</v>
      </c>
      <c r="O224">
        <f t="shared" si="8"/>
        <v>0</v>
      </c>
    </row>
    <row r="225" spans="1:15" x14ac:dyDescent="0.25">
      <c r="A225">
        <v>224</v>
      </c>
      <c r="B225" t="s">
        <v>185</v>
      </c>
      <c r="C225" t="s">
        <v>25</v>
      </c>
      <c r="D225">
        <v>84000</v>
      </c>
      <c r="E225" t="s">
        <v>8</v>
      </c>
      <c r="F225" t="s">
        <v>9</v>
      </c>
      <c r="O225">
        <f t="shared" si="8"/>
        <v>0</v>
      </c>
    </row>
    <row r="226" spans="1:15" x14ac:dyDescent="0.25">
      <c r="A226">
        <v>225</v>
      </c>
      <c r="B226" t="s">
        <v>57</v>
      </c>
      <c r="C226" t="s">
        <v>27</v>
      </c>
      <c r="D226">
        <v>59300</v>
      </c>
      <c r="E226" t="s">
        <v>8</v>
      </c>
      <c r="F226" t="s">
        <v>9</v>
      </c>
      <c r="O226">
        <f t="shared" si="8"/>
        <v>0</v>
      </c>
    </row>
    <row r="227" spans="1:15" x14ac:dyDescent="0.25">
      <c r="A227">
        <v>226</v>
      </c>
      <c r="B227" t="s">
        <v>84</v>
      </c>
      <c r="C227" t="s">
        <v>29</v>
      </c>
      <c r="D227">
        <v>8600</v>
      </c>
      <c r="E227" t="s">
        <v>8</v>
      </c>
      <c r="F227" t="s">
        <v>9</v>
      </c>
      <c r="O227">
        <f t="shared" si="8"/>
        <v>0</v>
      </c>
    </row>
    <row r="228" spans="1:15" x14ac:dyDescent="0.25">
      <c r="A228">
        <v>227</v>
      </c>
      <c r="B228" t="s">
        <v>186</v>
      </c>
      <c r="C228" t="s">
        <v>31</v>
      </c>
      <c r="D228">
        <v>6900</v>
      </c>
      <c r="E228" t="s">
        <v>8</v>
      </c>
      <c r="F228" t="s">
        <v>20</v>
      </c>
      <c r="O228">
        <f t="shared" si="8"/>
        <v>0</v>
      </c>
    </row>
    <row r="229" spans="1:15" x14ac:dyDescent="0.25">
      <c r="A229">
        <v>228</v>
      </c>
      <c r="B229" t="s">
        <v>187</v>
      </c>
      <c r="C229" t="s">
        <v>33</v>
      </c>
      <c r="D229">
        <v>58600</v>
      </c>
      <c r="E229" t="s">
        <v>8</v>
      </c>
      <c r="F229" t="s">
        <v>9</v>
      </c>
      <c r="O229">
        <f t="shared" si="8"/>
        <v>0</v>
      </c>
    </row>
    <row r="230" spans="1:15" x14ac:dyDescent="0.25">
      <c r="A230">
        <v>229</v>
      </c>
      <c r="B230" t="s">
        <v>45</v>
      </c>
      <c r="C230" t="s">
        <v>7</v>
      </c>
      <c r="D230">
        <v>122600</v>
      </c>
      <c r="E230" t="s">
        <v>8</v>
      </c>
      <c r="F230" t="s">
        <v>9</v>
      </c>
      <c r="O230">
        <f t="shared" si="8"/>
        <v>0</v>
      </c>
    </row>
    <row r="231" spans="1:15" x14ac:dyDescent="0.25">
      <c r="A231">
        <v>230</v>
      </c>
      <c r="B231" t="s">
        <v>188</v>
      </c>
      <c r="C231" t="s">
        <v>11</v>
      </c>
      <c r="D231">
        <v>14300</v>
      </c>
      <c r="E231" t="s">
        <v>8</v>
      </c>
      <c r="F231" t="s">
        <v>9</v>
      </c>
      <c r="O231">
        <f t="shared" si="8"/>
        <v>0</v>
      </c>
    </row>
    <row r="232" spans="1:15" x14ac:dyDescent="0.25">
      <c r="A232">
        <v>231</v>
      </c>
      <c r="B232" t="s">
        <v>132</v>
      </c>
      <c r="C232" t="s">
        <v>13</v>
      </c>
      <c r="D232">
        <v>37800</v>
      </c>
      <c r="E232" t="s">
        <v>8</v>
      </c>
      <c r="F232" t="s">
        <v>20</v>
      </c>
      <c r="O232">
        <f t="shared" si="8"/>
        <v>0</v>
      </c>
    </row>
    <row r="233" spans="1:15" x14ac:dyDescent="0.25">
      <c r="A233">
        <v>232</v>
      </c>
      <c r="B233" t="s">
        <v>189</v>
      </c>
      <c r="C233" t="s">
        <v>15</v>
      </c>
      <c r="D233">
        <v>39500</v>
      </c>
      <c r="E233" t="s">
        <v>38</v>
      </c>
      <c r="F233" t="s">
        <v>20</v>
      </c>
      <c r="O233">
        <f t="shared" si="8"/>
        <v>0</v>
      </c>
    </row>
    <row r="234" spans="1:15" x14ac:dyDescent="0.25">
      <c r="A234">
        <v>233</v>
      </c>
      <c r="B234" t="s">
        <v>190</v>
      </c>
      <c r="C234" t="s">
        <v>17</v>
      </c>
      <c r="D234">
        <v>168400</v>
      </c>
      <c r="E234" t="s">
        <v>8</v>
      </c>
      <c r="F234" t="s">
        <v>9</v>
      </c>
      <c r="O234">
        <f t="shared" si="8"/>
        <v>0</v>
      </c>
    </row>
    <row r="235" spans="1:15" x14ac:dyDescent="0.25">
      <c r="A235">
        <v>234</v>
      </c>
      <c r="B235" t="s">
        <v>43</v>
      </c>
      <c r="C235" t="s">
        <v>19</v>
      </c>
      <c r="D235">
        <v>31700</v>
      </c>
      <c r="E235" t="s">
        <v>8</v>
      </c>
      <c r="F235" t="s">
        <v>9</v>
      </c>
      <c r="O235">
        <f t="shared" si="8"/>
        <v>0</v>
      </c>
    </row>
    <row r="236" spans="1:15" x14ac:dyDescent="0.25">
      <c r="A236">
        <v>235</v>
      </c>
      <c r="B236" t="s">
        <v>191</v>
      </c>
      <c r="C236" t="s">
        <v>22</v>
      </c>
      <c r="D236">
        <v>98600</v>
      </c>
      <c r="E236" t="s">
        <v>23</v>
      </c>
      <c r="F236" t="s">
        <v>9</v>
      </c>
      <c r="O236">
        <f t="shared" si="8"/>
        <v>0</v>
      </c>
    </row>
    <row r="237" spans="1:15" x14ac:dyDescent="0.25">
      <c r="A237">
        <v>236</v>
      </c>
      <c r="B237" t="s">
        <v>192</v>
      </c>
      <c r="C237" t="s">
        <v>25</v>
      </c>
      <c r="D237">
        <v>58500</v>
      </c>
      <c r="E237" t="s">
        <v>8</v>
      </c>
      <c r="F237" t="s">
        <v>9</v>
      </c>
      <c r="O237">
        <f t="shared" si="8"/>
        <v>0</v>
      </c>
    </row>
    <row r="238" spans="1:15" x14ac:dyDescent="0.25">
      <c r="A238">
        <v>237</v>
      </c>
      <c r="B238" t="s">
        <v>193</v>
      </c>
      <c r="C238" t="s">
        <v>27</v>
      </c>
      <c r="D238">
        <v>31900</v>
      </c>
      <c r="E238" t="s">
        <v>8</v>
      </c>
      <c r="F238" t="s">
        <v>20</v>
      </c>
      <c r="O238">
        <f t="shared" si="8"/>
        <v>0</v>
      </c>
    </row>
    <row r="239" spans="1:15" x14ac:dyDescent="0.25">
      <c r="A239">
        <v>238</v>
      </c>
      <c r="B239" t="s">
        <v>39</v>
      </c>
      <c r="C239" t="s">
        <v>29</v>
      </c>
      <c r="D239">
        <v>12000</v>
      </c>
      <c r="E239" t="s">
        <v>23</v>
      </c>
      <c r="F239" t="s">
        <v>9</v>
      </c>
      <c r="O239">
        <f t="shared" si="8"/>
        <v>0</v>
      </c>
    </row>
    <row r="240" spans="1:15" x14ac:dyDescent="0.25">
      <c r="A240">
        <v>239</v>
      </c>
      <c r="B240" t="s">
        <v>41</v>
      </c>
      <c r="C240" t="s">
        <v>31</v>
      </c>
      <c r="D240">
        <v>22400</v>
      </c>
      <c r="E240" t="s">
        <v>38</v>
      </c>
      <c r="F240" t="s">
        <v>20</v>
      </c>
      <c r="O240">
        <f t="shared" si="8"/>
        <v>0</v>
      </c>
    </row>
    <row r="241" spans="1:15" x14ac:dyDescent="0.25">
      <c r="A241">
        <v>240</v>
      </c>
      <c r="B241" t="s">
        <v>140</v>
      </c>
      <c r="C241" t="s">
        <v>33</v>
      </c>
      <c r="D241">
        <v>102100</v>
      </c>
      <c r="E241" t="s">
        <v>23</v>
      </c>
      <c r="F241" t="s">
        <v>9</v>
      </c>
      <c r="O241">
        <f t="shared" si="8"/>
        <v>0</v>
      </c>
    </row>
    <row r="242" spans="1:15" x14ac:dyDescent="0.25">
      <c r="A242">
        <v>241</v>
      </c>
      <c r="B242" t="s">
        <v>116</v>
      </c>
      <c r="C242" t="s">
        <v>7</v>
      </c>
      <c r="D242">
        <v>29500</v>
      </c>
      <c r="E242" t="s">
        <v>8</v>
      </c>
      <c r="F242" t="s">
        <v>9</v>
      </c>
      <c r="O242">
        <f t="shared" si="8"/>
        <v>0</v>
      </c>
    </row>
    <row r="243" spans="1:15" x14ac:dyDescent="0.25">
      <c r="A243">
        <v>242</v>
      </c>
      <c r="B243" t="s">
        <v>184</v>
      </c>
      <c r="C243" t="s">
        <v>11</v>
      </c>
      <c r="D243">
        <v>50600</v>
      </c>
      <c r="E243" t="s">
        <v>23</v>
      </c>
      <c r="F243" t="s">
        <v>9</v>
      </c>
      <c r="O243">
        <f t="shared" ref="O243:O306" si="9">N243*N243</f>
        <v>0</v>
      </c>
    </row>
    <row r="244" spans="1:15" x14ac:dyDescent="0.25">
      <c r="A244">
        <v>243</v>
      </c>
      <c r="B244" t="s">
        <v>194</v>
      </c>
      <c r="C244" t="s">
        <v>13</v>
      </c>
      <c r="D244">
        <v>12300</v>
      </c>
      <c r="E244" t="s">
        <v>23</v>
      </c>
      <c r="F244" t="s">
        <v>9</v>
      </c>
      <c r="O244">
        <f t="shared" si="9"/>
        <v>0</v>
      </c>
    </row>
    <row r="245" spans="1:15" x14ac:dyDescent="0.25">
      <c r="A245">
        <v>244</v>
      </c>
      <c r="B245" t="s">
        <v>110</v>
      </c>
      <c r="C245" t="s">
        <v>15</v>
      </c>
      <c r="D245">
        <v>5700</v>
      </c>
      <c r="E245" t="s">
        <v>8</v>
      </c>
      <c r="F245" t="s">
        <v>9</v>
      </c>
      <c r="O245">
        <f t="shared" si="9"/>
        <v>0</v>
      </c>
    </row>
    <row r="246" spans="1:15" x14ac:dyDescent="0.25">
      <c r="A246">
        <v>245</v>
      </c>
      <c r="B246" t="s">
        <v>61</v>
      </c>
      <c r="C246" t="s">
        <v>17</v>
      </c>
      <c r="D246">
        <v>13400</v>
      </c>
      <c r="E246" t="s">
        <v>8</v>
      </c>
      <c r="F246" t="s">
        <v>20</v>
      </c>
      <c r="O246">
        <f t="shared" si="9"/>
        <v>0</v>
      </c>
    </row>
    <row r="247" spans="1:15" x14ac:dyDescent="0.25">
      <c r="A247">
        <v>246</v>
      </c>
      <c r="B247" t="s">
        <v>24</v>
      </c>
      <c r="C247" t="s">
        <v>19</v>
      </c>
      <c r="D247">
        <v>133000</v>
      </c>
      <c r="E247" t="s">
        <v>8</v>
      </c>
      <c r="F247" t="s">
        <v>9</v>
      </c>
      <c r="O247">
        <f t="shared" si="9"/>
        <v>0</v>
      </c>
    </row>
    <row r="248" spans="1:15" x14ac:dyDescent="0.25">
      <c r="A248">
        <v>247</v>
      </c>
      <c r="B248" t="s">
        <v>195</v>
      </c>
      <c r="C248" t="s">
        <v>22</v>
      </c>
      <c r="D248">
        <v>52700</v>
      </c>
      <c r="E248" t="s">
        <v>38</v>
      </c>
      <c r="F248" t="s">
        <v>9</v>
      </c>
      <c r="O248">
        <f t="shared" si="9"/>
        <v>0</v>
      </c>
    </row>
    <row r="249" spans="1:15" x14ac:dyDescent="0.25">
      <c r="A249">
        <v>248</v>
      </c>
      <c r="B249" t="s">
        <v>66</v>
      </c>
      <c r="C249" t="s">
        <v>25</v>
      </c>
      <c r="D249">
        <v>16400</v>
      </c>
      <c r="E249" t="s">
        <v>38</v>
      </c>
      <c r="F249" t="s">
        <v>20</v>
      </c>
      <c r="O249">
        <f t="shared" si="9"/>
        <v>0</v>
      </c>
    </row>
    <row r="250" spans="1:15" x14ac:dyDescent="0.25">
      <c r="A250">
        <v>249</v>
      </c>
      <c r="B250" t="s">
        <v>41</v>
      </c>
      <c r="C250" t="s">
        <v>27</v>
      </c>
      <c r="D250">
        <v>8300</v>
      </c>
      <c r="E250" t="s">
        <v>38</v>
      </c>
      <c r="F250" t="s">
        <v>20</v>
      </c>
      <c r="O250">
        <f t="shared" si="9"/>
        <v>0</v>
      </c>
    </row>
    <row r="251" spans="1:15" x14ac:dyDescent="0.25">
      <c r="A251">
        <v>250</v>
      </c>
      <c r="B251" t="s">
        <v>74</v>
      </c>
      <c r="C251" t="s">
        <v>29</v>
      </c>
      <c r="D251">
        <v>177100</v>
      </c>
      <c r="E251" t="s">
        <v>8</v>
      </c>
      <c r="F251" t="s">
        <v>9</v>
      </c>
      <c r="O251">
        <f t="shared" si="9"/>
        <v>0</v>
      </c>
    </row>
    <row r="252" spans="1:15" x14ac:dyDescent="0.25">
      <c r="A252">
        <v>251</v>
      </c>
      <c r="B252" t="s">
        <v>90</v>
      </c>
      <c r="C252" t="s">
        <v>31</v>
      </c>
      <c r="D252">
        <v>32500</v>
      </c>
      <c r="E252" t="s">
        <v>38</v>
      </c>
      <c r="F252" t="s">
        <v>20</v>
      </c>
      <c r="O252">
        <f t="shared" si="9"/>
        <v>0</v>
      </c>
    </row>
    <row r="253" spans="1:15" x14ac:dyDescent="0.25">
      <c r="A253">
        <v>252</v>
      </c>
      <c r="B253" t="s">
        <v>196</v>
      </c>
      <c r="C253" t="s">
        <v>33</v>
      </c>
      <c r="D253">
        <v>34300</v>
      </c>
      <c r="E253" t="s">
        <v>8</v>
      </c>
      <c r="F253" t="s">
        <v>9</v>
      </c>
      <c r="O253">
        <f t="shared" si="9"/>
        <v>0</v>
      </c>
    </row>
    <row r="254" spans="1:15" x14ac:dyDescent="0.25">
      <c r="A254">
        <v>253</v>
      </c>
      <c r="B254" t="s">
        <v>197</v>
      </c>
      <c r="C254" t="s">
        <v>7</v>
      </c>
      <c r="D254">
        <v>11900</v>
      </c>
      <c r="E254" t="s">
        <v>8</v>
      </c>
      <c r="F254" t="s">
        <v>9</v>
      </c>
      <c r="O254">
        <f t="shared" si="9"/>
        <v>0</v>
      </c>
    </row>
    <row r="255" spans="1:15" x14ac:dyDescent="0.25">
      <c r="A255">
        <v>254</v>
      </c>
      <c r="B255" t="s">
        <v>198</v>
      </c>
      <c r="C255" t="s">
        <v>11</v>
      </c>
      <c r="D255">
        <v>103300</v>
      </c>
      <c r="E255" t="s">
        <v>8</v>
      </c>
      <c r="F255" t="s">
        <v>9</v>
      </c>
      <c r="O255">
        <f t="shared" si="9"/>
        <v>0</v>
      </c>
    </row>
    <row r="256" spans="1:15" x14ac:dyDescent="0.25">
      <c r="A256">
        <v>255</v>
      </c>
      <c r="B256" t="s">
        <v>93</v>
      </c>
      <c r="C256" t="s">
        <v>13</v>
      </c>
      <c r="D256">
        <v>29900</v>
      </c>
      <c r="E256" t="s">
        <v>8</v>
      </c>
      <c r="F256" t="s">
        <v>9</v>
      </c>
      <c r="O256">
        <f t="shared" si="9"/>
        <v>0</v>
      </c>
    </row>
    <row r="257" spans="1:15" x14ac:dyDescent="0.25">
      <c r="A257">
        <v>256</v>
      </c>
      <c r="B257" t="s">
        <v>95</v>
      </c>
      <c r="C257" t="s">
        <v>15</v>
      </c>
      <c r="D257">
        <v>21300</v>
      </c>
      <c r="E257" t="s">
        <v>8</v>
      </c>
      <c r="F257" t="s">
        <v>9</v>
      </c>
      <c r="O257">
        <f t="shared" si="9"/>
        <v>0</v>
      </c>
    </row>
    <row r="258" spans="1:15" x14ac:dyDescent="0.25">
      <c r="A258">
        <v>257</v>
      </c>
      <c r="B258" t="s">
        <v>199</v>
      </c>
      <c r="C258" t="s">
        <v>17</v>
      </c>
      <c r="D258">
        <v>7500</v>
      </c>
      <c r="E258" t="s">
        <v>8</v>
      </c>
      <c r="F258" t="s">
        <v>9</v>
      </c>
      <c r="O258">
        <f t="shared" si="9"/>
        <v>0</v>
      </c>
    </row>
    <row r="259" spans="1:15" x14ac:dyDescent="0.25">
      <c r="A259">
        <v>258</v>
      </c>
      <c r="B259" t="s">
        <v>200</v>
      </c>
      <c r="C259" t="s">
        <v>19</v>
      </c>
      <c r="D259">
        <v>48900</v>
      </c>
      <c r="E259" t="s">
        <v>8</v>
      </c>
      <c r="F259" t="s">
        <v>9</v>
      </c>
      <c r="O259">
        <f t="shared" si="9"/>
        <v>0</v>
      </c>
    </row>
    <row r="260" spans="1:15" x14ac:dyDescent="0.25">
      <c r="A260">
        <v>259</v>
      </c>
      <c r="B260" t="s">
        <v>120</v>
      </c>
      <c r="C260" t="s">
        <v>22</v>
      </c>
      <c r="D260">
        <v>41200</v>
      </c>
      <c r="E260" t="s">
        <v>8</v>
      </c>
      <c r="F260" t="s">
        <v>9</v>
      </c>
      <c r="O260">
        <f t="shared" si="9"/>
        <v>0</v>
      </c>
    </row>
    <row r="261" spans="1:15" x14ac:dyDescent="0.25">
      <c r="A261">
        <v>260</v>
      </c>
      <c r="B261" t="s">
        <v>201</v>
      </c>
      <c r="C261" t="s">
        <v>25</v>
      </c>
      <c r="D261">
        <v>14000</v>
      </c>
      <c r="E261" t="s">
        <v>8</v>
      </c>
      <c r="F261" t="s">
        <v>9</v>
      </c>
      <c r="O261">
        <f t="shared" si="9"/>
        <v>0</v>
      </c>
    </row>
    <row r="262" spans="1:15" x14ac:dyDescent="0.25">
      <c r="A262">
        <v>261</v>
      </c>
      <c r="B262" t="s">
        <v>202</v>
      </c>
      <c r="C262" t="s">
        <v>27</v>
      </c>
      <c r="D262">
        <v>26400</v>
      </c>
      <c r="E262" t="s">
        <v>8</v>
      </c>
      <c r="F262" t="s">
        <v>20</v>
      </c>
      <c r="O262">
        <f t="shared" si="9"/>
        <v>0</v>
      </c>
    </row>
    <row r="263" spans="1:15" x14ac:dyDescent="0.25">
      <c r="A263">
        <v>262</v>
      </c>
      <c r="B263" t="s">
        <v>78</v>
      </c>
      <c r="C263" t="s">
        <v>29</v>
      </c>
      <c r="D263">
        <v>10300</v>
      </c>
      <c r="E263" t="s">
        <v>23</v>
      </c>
      <c r="F263" t="s">
        <v>9</v>
      </c>
      <c r="O263">
        <f t="shared" si="9"/>
        <v>0</v>
      </c>
    </row>
    <row r="264" spans="1:15" x14ac:dyDescent="0.25">
      <c r="A264">
        <v>263</v>
      </c>
      <c r="B264" t="s">
        <v>97</v>
      </c>
      <c r="C264" t="s">
        <v>31</v>
      </c>
      <c r="D264">
        <v>13600</v>
      </c>
      <c r="E264" t="s">
        <v>8</v>
      </c>
      <c r="F264" t="s">
        <v>9</v>
      </c>
      <c r="O264">
        <f t="shared" si="9"/>
        <v>0</v>
      </c>
    </row>
    <row r="265" spans="1:15" x14ac:dyDescent="0.25">
      <c r="A265">
        <v>264</v>
      </c>
      <c r="B265" t="s">
        <v>168</v>
      </c>
      <c r="C265" t="s">
        <v>33</v>
      </c>
      <c r="D265">
        <v>113100</v>
      </c>
      <c r="E265" t="s">
        <v>8</v>
      </c>
      <c r="F265" t="s">
        <v>9</v>
      </c>
      <c r="O265">
        <f t="shared" si="9"/>
        <v>0</v>
      </c>
    </row>
    <row r="266" spans="1:15" x14ac:dyDescent="0.25">
      <c r="A266">
        <v>265</v>
      </c>
      <c r="B266" t="s">
        <v>203</v>
      </c>
      <c r="C266" t="s">
        <v>7</v>
      </c>
      <c r="D266">
        <v>9800</v>
      </c>
      <c r="E266" t="s">
        <v>8</v>
      </c>
      <c r="F266" t="s">
        <v>9</v>
      </c>
      <c r="O266">
        <f t="shared" si="9"/>
        <v>0</v>
      </c>
    </row>
    <row r="267" spans="1:15" x14ac:dyDescent="0.25">
      <c r="A267">
        <v>266</v>
      </c>
      <c r="B267" t="s">
        <v>204</v>
      </c>
      <c r="C267" t="s">
        <v>11</v>
      </c>
      <c r="D267">
        <v>36100</v>
      </c>
      <c r="E267" t="s">
        <v>8</v>
      </c>
      <c r="F267" t="s">
        <v>9</v>
      </c>
      <c r="O267">
        <f t="shared" si="9"/>
        <v>0</v>
      </c>
    </row>
    <row r="268" spans="1:15" x14ac:dyDescent="0.25">
      <c r="A268">
        <v>267</v>
      </c>
      <c r="B268" t="s">
        <v>205</v>
      </c>
      <c r="C268" t="s">
        <v>13</v>
      </c>
      <c r="D268">
        <v>60500</v>
      </c>
      <c r="E268" t="s">
        <v>8</v>
      </c>
      <c r="F268" t="s">
        <v>9</v>
      </c>
      <c r="O268">
        <f t="shared" si="9"/>
        <v>0</v>
      </c>
    </row>
    <row r="269" spans="1:15" x14ac:dyDescent="0.25">
      <c r="A269">
        <v>268</v>
      </c>
      <c r="B269" t="s">
        <v>206</v>
      </c>
      <c r="C269" t="s">
        <v>15</v>
      </c>
      <c r="D269">
        <v>79700</v>
      </c>
      <c r="E269" t="s">
        <v>8</v>
      </c>
      <c r="F269" t="s">
        <v>9</v>
      </c>
      <c r="O269">
        <f t="shared" si="9"/>
        <v>0</v>
      </c>
    </row>
    <row r="270" spans="1:15" x14ac:dyDescent="0.25">
      <c r="A270">
        <v>269</v>
      </c>
      <c r="B270" t="s">
        <v>207</v>
      </c>
      <c r="C270" t="s">
        <v>17</v>
      </c>
      <c r="D270">
        <v>12600</v>
      </c>
      <c r="E270" t="s">
        <v>8</v>
      </c>
      <c r="F270" t="s">
        <v>9</v>
      </c>
      <c r="O270">
        <f t="shared" si="9"/>
        <v>0</v>
      </c>
    </row>
    <row r="271" spans="1:15" x14ac:dyDescent="0.25">
      <c r="A271">
        <v>270</v>
      </c>
      <c r="B271" t="s">
        <v>208</v>
      </c>
      <c r="C271" t="s">
        <v>19</v>
      </c>
      <c r="D271">
        <v>42200</v>
      </c>
      <c r="E271" t="s">
        <v>8</v>
      </c>
      <c r="F271" t="s">
        <v>9</v>
      </c>
      <c r="O271">
        <f t="shared" si="9"/>
        <v>0</v>
      </c>
    </row>
    <row r="272" spans="1:15" x14ac:dyDescent="0.25">
      <c r="A272">
        <v>271</v>
      </c>
      <c r="B272" t="s">
        <v>158</v>
      </c>
      <c r="C272" t="s">
        <v>22</v>
      </c>
      <c r="D272">
        <v>41000</v>
      </c>
      <c r="E272" t="s">
        <v>8</v>
      </c>
      <c r="F272" t="s">
        <v>9</v>
      </c>
      <c r="O272">
        <f t="shared" si="9"/>
        <v>0</v>
      </c>
    </row>
    <row r="273" spans="1:15" x14ac:dyDescent="0.25">
      <c r="A273">
        <v>272</v>
      </c>
      <c r="B273" t="s">
        <v>158</v>
      </c>
      <c r="C273" t="s">
        <v>25</v>
      </c>
      <c r="D273">
        <v>15300</v>
      </c>
      <c r="E273" t="s">
        <v>8</v>
      </c>
      <c r="F273" t="s">
        <v>9</v>
      </c>
      <c r="O273">
        <f t="shared" si="9"/>
        <v>0</v>
      </c>
    </row>
    <row r="274" spans="1:15" x14ac:dyDescent="0.25">
      <c r="A274">
        <v>273</v>
      </c>
      <c r="B274" t="s">
        <v>95</v>
      </c>
      <c r="C274" t="s">
        <v>27</v>
      </c>
      <c r="D274">
        <v>30300</v>
      </c>
      <c r="E274" t="s">
        <v>8</v>
      </c>
      <c r="F274" t="s">
        <v>9</v>
      </c>
      <c r="O274">
        <f t="shared" si="9"/>
        <v>0</v>
      </c>
    </row>
    <row r="275" spans="1:15" x14ac:dyDescent="0.25">
      <c r="A275">
        <v>274</v>
      </c>
      <c r="B275" t="s">
        <v>83</v>
      </c>
      <c r="C275" t="s">
        <v>29</v>
      </c>
      <c r="D275">
        <v>92500</v>
      </c>
      <c r="E275" t="s">
        <v>8</v>
      </c>
      <c r="F275" t="s">
        <v>9</v>
      </c>
      <c r="O275">
        <f t="shared" si="9"/>
        <v>0</v>
      </c>
    </row>
    <row r="276" spans="1:15" x14ac:dyDescent="0.25">
      <c r="A276">
        <v>275</v>
      </c>
      <c r="B276" t="s">
        <v>177</v>
      </c>
      <c r="C276" t="s">
        <v>31</v>
      </c>
      <c r="D276">
        <v>54700</v>
      </c>
      <c r="E276" t="s">
        <v>8</v>
      </c>
      <c r="F276" t="s">
        <v>9</v>
      </c>
      <c r="O276">
        <f t="shared" si="9"/>
        <v>0</v>
      </c>
    </row>
    <row r="277" spans="1:15" x14ac:dyDescent="0.25">
      <c r="A277">
        <v>276</v>
      </c>
      <c r="B277" t="s">
        <v>46</v>
      </c>
      <c r="C277" t="s">
        <v>33</v>
      </c>
      <c r="D277">
        <v>54000</v>
      </c>
      <c r="E277" t="s">
        <v>8</v>
      </c>
      <c r="F277" t="s">
        <v>9</v>
      </c>
      <c r="O277">
        <f t="shared" si="9"/>
        <v>0</v>
      </c>
    </row>
    <row r="278" spans="1:15" x14ac:dyDescent="0.25">
      <c r="A278">
        <v>277</v>
      </c>
      <c r="B278" t="s">
        <v>43</v>
      </c>
      <c r="O278">
        <f t="shared" si="9"/>
        <v>0</v>
      </c>
    </row>
    <row r="279" spans="1:15" x14ac:dyDescent="0.25">
      <c r="A279">
        <v>278</v>
      </c>
      <c r="B279" t="s">
        <v>209</v>
      </c>
      <c r="C279" t="s">
        <v>11</v>
      </c>
      <c r="D279">
        <v>30400</v>
      </c>
      <c r="E279" t="s">
        <v>8</v>
      </c>
      <c r="F279" t="s">
        <v>9</v>
      </c>
      <c r="O279">
        <f t="shared" si="9"/>
        <v>0</v>
      </c>
    </row>
    <row r="280" spans="1:15" x14ac:dyDescent="0.25">
      <c r="A280">
        <v>279</v>
      </c>
      <c r="B280" t="s">
        <v>210</v>
      </c>
      <c r="C280" t="s">
        <v>13</v>
      </c>
      <c r="D280">
        <v>7400</v>
      </c>
      <c r="E280" t="s">
        <v>8</v>
      </c>
      <c r="F280" t="s">
        <v>9</v>
      </c>
      <c r="O280">
        <f t="shared" si="9"/>
        <v>0</v>
      </c>
    </row>
    <row r="281" spans="1:15" x14ac:dyDescent="0.25">
      <c r="A281">
        <v>280</v>
      </c>
      <c r="B281" t="s">
        <v>211</v>
      </c>
      <c r="C281" t="s">
        <v>15</v>
      </c>
      <c r="D281">
        <v>70300</v>
      </c>
      <c r="E281" t="s">
        <v>38</v>
      </c>
      <c r="F281" t="s">
        <v>20</v>
      </c>
      <c r="O281">
        <f t="shared" si="9"/>
        <v>0</v>
      </c>
    </row>
    <row r="282" spans="1:15" x14ac:dyDescent="0.25">
      <c r="A282">
        <v>281</v>
      </c>
      <c r="B282" t="s">
        <v>212</v>
      </c>
      <c r="C282" t="s">
        <v>17</v>
      </c>
      <c r="D282">
        <v>32500</v>
      </c>
      <c r="E282" t="s">
        <v>8</v>
      </c>
      <c r="F282" t="s">
        <v>9</v>
      </c>
      <c r="O282">
        <f t="shared" si="9"/>
        <v>0</v>
      </c>
    </row>
    <row r="283" spans="1:15" x14ac:dyDescent="0.25">
      <c r="A283">
        <v>282</v>
      </c>
      <c r="B283" t="s">
        <v>213</v>
      </c>
      <c r="C283" t="s">
        <v>19</v>
      </c>
      <c r="D283">
        <v>18200</v>
      </c>
      <c r="E283" t="s">
        <v>8</v>
      </c>
      <c r="F283" t="s">
        <v>9</v>
      </c>
      <c r="O283">
        <f t="shared" si="9"/>
        <v>0</v>
      </c>
    </row>
    <row r="284" spans="1:15" x14ac:dyDescent="0.25">
      <c r="A284">
        <v>283</v>
      </c>
      <c r="B284" t="s">
        <v>81</v>
      </c>
      <c r="C284" t="s">
        <v>22</v>
      </c>
      <c r="D284">
        <v>23100</v>
      </c>
      <c r="E284" t="s">
        <v>8</v>
      </c>
      <c r="F284" t="s">
        <v>9</v>
      </c>
      <c r="O284">
        <f t="shared" si="9"/>
        <v>0</v>
      </c>
    </row>
    <row r="285" spans="1:15" x14ac:dyDescent="0.25">
      <c r="A285">
        <v>284</v>
      </c>
      <c r="B285" t="s">
        <v>214</v>
      </c>
      <c r="C285" t="s">
        <v>25</v>
      </c>
      <c r="D285">
        <v>13600</v>
      </c>
      <c r="E285" t="s">
        <v>8</v>
      </c>
      <c r="F285" t="s">
        <v>20</v>
      </c>
      <c r="O285">
        <f t="shared" si="9"/>
        <v>0</v>
      </c>
    </row>
    <row r="286" spans="1:15" x14ac:dyDescent="0.25">
      <c r="A286">
        <v>285</v>
      </c>
      <c r="B286" t="s">
        <v>215</v>
      </c>
      <c r="C286" t="s">
        <v>27</v>
      </c>
      <c r="D286">
        <v>37500</v>
      </c>
      <c r="E286" t="s">
        <v>23</v>
      </c>
      <c r="F286" t="s">
        <v>9</v>
      </c>
      <c r="O286">
        <f t="shared" si="9"/>
        <v>0</v>
      </c>
    </row>
    <row r="287" spans="1:15" x14ac:dyDescent="0.25">
      <c r="A287">
        <v>286</v>
      </c>
      <c r="B287" t="s">
        <v>216</v>
      </c>
      <c r="C287" t="s">
        <v>29</v>
      </c>
      <c r="D287">
        <v>18900</v>
      </c>
      <c r="E287" t="s">
        <v>8</v>
      </c>
      <c r="F287" t="s">
        <v>9</v>
      </c>
      <c r="O287">
        <f t="shared" si="9"/>
        <v>0</v>
      </c>
    </row>
    <row r="288" spans="1:15" x14ac:dyDescent="0.25">
      <c r="A288">
        <v>287</v>
      </c>
      <c r="B288" t="s">
        <v>217</v>
      </c>
      <c r="C288" t="s">
        <v>31</v>
      </c>
      <c r="D288">
        <v>17100</v>
      </c>
      <c r="E288" t="s">
        <v>8</v>
      </c>
      <c r="F288" t="s">
        <v>9</v>
      </c>
      <c r="O288">
        <f t="shared" si="9"/>
        <v>0</v>
      </c>
    </row>
    <row r="289" spans="1:15" x14ac:dyDescent="0.25">
      <c r="A289">
        <v>288</v>
      </c>
      <c r="B289" t="s">
        <v>218</v>
      </c>
      <c r="C289" t="s">
        <v>33</v>
      </c>
      <c r="D289">
        <v>140700</v>
      </c>
      <c r="E289" t="s">
        <v>23</v>
      </c>
      <c r="F289" t="s">
        <v>9</v>
      </c>
      <c r="O289">
        <f t="shared" si="9"/>
        <v>0</v>
      </c>
    </row>
    <row r="290" spans="1:15" x14ac:dyDescent="0.25">
      <c r="A290">
        <v>289</v>
      </c>
      <c r="B290" t="s">
        <v>219</v>
      </c>
      <c r="C290" t="s">
        <v>7</v>
      </c>
      <c r="D290">
        <v>71200</v>
      </c>
      <c r="E290" t="s">
        <v>23</v>
      </c>
      <c r="F290" t="s">
        <v>9</v>
      </c>
      <c r="O290">
        <f t="shared" si="9"/>
        <v>0</v>
      </c>
    </row>
    <row r="291" spans="1:15" x14ac:dyDescent="0.25">
      <c r="A291">
        <v>290</v>
      </c>
      <c r="B291" t="s">
        <v>176</v>
      </c>
      <c r="C291" t="s">
        <v>11</v>
      </c>
      <c r="D291">
        <v>103300</v>
      </c>
      <c r="E291" t="s">
        <v>23</v>
      </c>
      <c r="F291" t="s">
        <v>9</v>
      </c>
      <c r="O291">
        <f t="shared" si="9"/>
        <v>0</v>
      </c>
    </row>
    <row r="292" spans="1:15" x14ac:dyDescent="0.25">
      <c r="A292">
        <v>291</v>
      </c>
      <c r="B292" t="s">
        <v>135</v>
      </c>
      <c r="C292" t="s">
        <v>13</v>
      </c>
      <c r="D292">
        <v>16300</v>
      </c>
      <c r="E292" t="s">
        <v>8</v>
      </c>
      <c r="F292" t="s">
        <v>9</v>
      </c>
      <c r="O292">
        <f t="shared" si="9"/>
        <v>0</v>
      </c>
    </row>
    <row r="293" spans="1:15" x14ac:dyDescent="0.25">
      <c r="A293">
        <v>292</v>
      </c>
      <c r="B293" t="s">
        <v>220</v>
      </c>
      <c r="C293" t="s">
        <v>15</v>
      </c>
      <c r="D293">
        <v>15800</v>
      </c>
      <c r="E293" t="s">
        <v>8</v>
      </c>
      <c r="F293" t="s">
        <v>9</v>
      </c>
      <c r="O293">
        <f t="shared" si="9"/>
        <v>0</v>
      </c>
    </row>
    <row r="294" spans="1:15" x14ac:dyDescent="0.25">
      <c r="A294">
        <v>293</v>
      </c>
      <c r="B294" t="s">
        <v>10</v>
      </c>
      <c r="C294" t="s">
        <v>17</v>
      </c>
      <c r="D294">
        <v>10900</v>
      </c>
      <c r="E294" t="s">
        <v>8</v>
      </c>
      <c r="F294" t="s">
        <v>20</v>
      </c>
      <c r="O294">
        <f t="shared" si="9"/>
        <v>0</v>
      </c>
    </row>
    <row r="295" spans="1:15" x14ac:dyDescent="0.25">
      <c r="A295">
        <v>294</v>
      </c>
      <c r="B295" t="s">
        <v>35</v>
      </c>
      <c r="C295" t="s">
        <v>19</v>
      </c>
      <c r="D295">
        <v>60600</v>
      </c>
      <c r="E295" t="s">
        <v>23</v>
      </c>
      <c r="F295" t="s">
        <v>9</v>
      </c>
      <c r="O295">
        <f t="shared" si="9"/>
        <v>0</v>
      </c>
    </row>
    <row r="296" spans="1:15" x14ac:dyDescent="0.25">
      <c r="A296">
        <v>295</v>
      </c>
      <c r="B296" t="s">
        <v>108</v>
      </c>
      <c r="C296" t="s">
        <v>22</v>
      </c>
      <c r="D296">
        <v>67600</v>
      </c>
      <c r="E296" t="s">
        <v>23</v>
      </c>
      <c r="F296" t="s">
        <v>9</v>
      </c>
      <c r="O296">
        <f t="shared" si="9"/>
        <v>0</v>
      </c>
    </row>
    <row r="297" spans="1:15" x14ac:dyDescent="0.25">
      <c r="A297">
        <v>296</v>
      </c>
      <c r="B297" t="s">
        <v>70</v>
      </c>
      <c r="C297" t="s">
        <v>25</v>
      </c>
      <c r="D297">
        <v>45000</v>
      </c>
      <c r="E297" t="s">
        <v>8</v>
      </c>
      <c r="F297" t="s">
        <v>9</v>
      </c>
      <c r="O297">
        <f t="shared" si="9"/>
        <v>0</v>
      </c>
    </row>
    <row r="298" spans="1:15" x14ac:dyDescent="0.25">
      <c r="A298">
        <v>297</v>
      </c>
      <c r="B298" t="s">
        <v>221</v>
      </c>
      <c r="C298" t="s">
        <v>27</v>
      </c>
      <c r="D298">
        <v>59300</v>
      </c>
      <c r="E298" t="s">
        <v>8</v>
      </c>
      <c r="F298" t="s">
        <v>9</v>
      </c>
      <c r="O298">
        <f t="shared" si="9"/>
        <v>0</v>
      </c>
    </row>
    <row r="299" spans="1:15" x14ac:dyDescent="0.25">
      <c r="A299">
        <v>298</v>
      </c>
      <c r="B299" t="s">
        <v>222</v>
      </c>
      <c r="C299" t="s">
        <v>29</v>
      </c>
      <c r="D299">
        <v>117500</v>
      </c>
      <c r="E299" t="s">
        <v>38</v>
      </c>
      <c r="F299" t="s">
        <v>9</v>
      </c>
      <c r="O299">
        <f t="shared" si="9"/>
        <v>0</v>
      </c>
    </row>
    <row r="300" spans="1:15" x14ac:dyDescent="0.25">
      <c r="A300">
        <v>299</v>
      </c>
      <c r="B300" t="s">
        <v>116</v>
      </c>
      <c r="C300" t="s">
        <v>31</v>
      </c>
      <c r="D300">
        <v>25500</v>
      </c>
      <c r="E300" t="s">
        <v>8</v>
      </c>
      <c r="F300" t="s">
        <v>9</v>
      </c>
      <c r="O300">
        <f t="shared" si="9"/>
        <v>0</v>
      </c>
    </row>
    <row r="301" spans="1:15" x14ac:dyDescent="0.25">
      <c r="A301">
        <v>300</v>
      </c>
      <c r="B301" t="s">
        <v>223</v>
      </c>
      <c r="C301" t="s">
        <v>33</v>
      </c>
      <c r="D301">
        <v>59300</v>
      </c>
      <c r="E301" t="s">
        <v>8</v>
      </c>
      <c r="F301" t="s">
        <v>20</v>
      </c>
      <c r="O301">
        <f t="shared" si="9"/>
        <v>0</v>
      </c>
    </row>
    <row r="302" spans="1:15" x14ac:dyDescent="0.25">
      <c r="A302">
        <v>301</v>
      </c>
      <c r="B302" t="s">
        <v>120</v>
      </c>
      <c r="C302" t="s">
        <v>7</v>
      </c>
      <c r="D302">
        <v>15600</v>
      </c>
      <c r="E302" t="s">
        <v>8</v>
      </c>
      <c r="F302" t="s">
        <v>9</v>
      </c>
      <c r="O302">
        <f t="shared" si="9"/>
        <v>0</v>
      </c>
    </row>
    <row r="303" spans="1:15" x14ac:dyDescent="0.25">
      <c r="A303">
        <v>302</v>
      </c>
      <c r="B303" t="s">
        <v>113</v>
      </c>
      <c r="C303" t="s">
        <v>11</v>
      </c>
      <c r="D303">
        <v>9300</v>
      </c>
      <c r="E303" t="s">
        <v>8</v>
      </c>
      <c r="F303" t="s">
        <v>9</v>
      </c>
      <c r="O303">
        <f t="shared" si="9"/>
        <v>0</v>
      </c>
    </row>
    <row r="304" spans="1:15" x14ac:dyDescent="0.25">
      <c r="A304">
        <v>303</v>
      </c>
      <c r="B304" t="s">
        <v>209</v>
      </c>
      <c r="C304" t="s">
        <v>13</v>
      </c>
      <c r="D304">
        <v>35200</v>
      </c>
      <c r="E304" t="s">
        <v>8</v>
      </c>
      <c r="F304" t="s">
        <v>9</v>
      </c>
      <c r="O304">
        <f t="shared" si="9"/>
        <v>0</v>
      </c>
    </row>
    <row r="305" spans="1:15" x14ac:dyDescent="0.25">
      <c r="A305">
        <v>304</v>
      </c>
      <c r="B305" t="s">
        <v>224</v>
      </c>
      <c r="C305" t="s">
        <v>15</v>
      </c>
      <c r="D305">
        <v>5000</v>
      </c>
      <c r="E305" t="s">
        <v>23</v>
      </c>
      <c r="F305" t="s">
        <v>9</v>
      </c>
      <c r="O305">
        <f t="shared" si="9"/>
        <v>0</v>
      </c>
    </row>
    <row r="306" spans="1:15" x14ac:dyDescent="0.25">
      <c r="A306">
        <v>305</v>
      </c>
      <c r="B306" t="s">
        <v>225</v>
      </c>
      <c r="C306" t="s">
        <v>17</v>
      </c>
      <c r="D306">
        <v>62700</v>
      </c>
      <c r="E306" t="s">
        <v>23</v>
      </c>
      <c r="F306" t="s">
        <v>9</v>
      </c>
      <c r="O306">
        <f t="shared" si="9"/>
        <v>0</v>
      </c>
    </row>
    <row r="307" spans="1:15" x14ac:dyDescent="0.25">
      <c r="A307">
        <v>306</v>
      </c>
      <c r="B307" t="s">
        <v>226</v>
      </c>
      <c r="C307" t="s">
        <v>19</v>
      </c>
      <c r="D307">
        <v>64300</v>
      </c>
      <c r="E307" t="s">
        <v>8</v>
      </c>
      <c r="F307" t="s">
        <v>9</v>
      </c>
      <c r="O307">
        <f t="shared" ref="O307:O370" si="10">N307*N307</f>
        <v>0</v>
      </c>
    </row>
    <row r="308" spans="1:15" x14ac:dyDescent="0.25">
      <c r="A308">
        <v>307</v>
      </c>
      <c r="B308" t="s">
        <v>217</v>
      </c>
      <c r="C308" t="s">
        <v>22</v>
      </c>
      <c r="D308">
        <v>80700</v>
      </c>
      <c r="E308" t="s">
        <v>8</v>
      </c>
      <c r="F308" t="s">
        <v>9</v>
      </c>
      <c r="O308">
        <f t="shared" si="10"/>
        <v>0</v>
      </c>
    </row>
    <row r="309" spans="1:15" x14ac:dyDescent="0.25">
      <c r="A309">
        <v>308</v>
      </c>
      <c r="B309" t="s">
        <v>227</v>
      </c>
      <c r="C309" t="s">
        <v>25</v>
      </c>
      <c r="D309">
        <v>36300</v>
      </c>
      <c r="E309" t="s">
        <v>8</v>
      </c>
      <c r="F309" t="s">
        <v>9</v>
      </c>
      <c r="O309">
        <f t="shared" si="10"/>
        <v>0</v>
      </c>
    </row>
    <row r="310" spans="1:15" x14ac:dyDescent="0.25">
      <c r="A310">
        <v>309</v>
      </c>
      <c r="B310" t="s">
        <v>37</v>
      </c>
      <c r="C310" t="s">
        <v>27</v>
      </c>
      <c r="D310">
        <v>8000</v>
      </c>
      <c r="E310" t="s">
        <v>8</v>
      </c>
      <c r="F310" t="s">
        <v>9</v>
      </c>
      <c r="O310">
        <f t="shared" si="10"/>
        <v>0</v>
      </c>
    </row>
    <row r="311" spans="1:15" x14ac:dyDescent="0.25">
      <c r="A311">
        <v>310</v>
      </c>
      <c r="B311" t="s">
        <v>228</v>
      </c>
      <c r="C311" t="s">
        <v>29</v>
      </c>
      <c r="D311">
        <v>5400</v>
      </c>
      <c r="E311" t="s">
        <v>38</v>
      </c>
      <c r="F311" t="s">
        <v>9</v>
      </c>
      <c r="O311">
        <f t="shared" si="10"/>
        <v>0</v>
      </c>
    </row>
    <row r="312" spans="1:15" x14ac:dyDescent="0.25">
      <c r="A312">
        <v>311</v>
      </c>
      <c r="B312" t="s">
        <v>229</v>
      </c>
      <c r="C312" t="s">
        <v>31</v>
      </c>
      <c r="D312">
        <v>17700</v>
      </c>
      <c r="E312" t="s">
        <v>8</v>
      </c>
      <c r="F312" t="s">
        <v>9</v>
      </c>
      <c r="O312">
        <f t="shared" si="10"/>
        <v>0</v>
      </c>
    </row>
    <row r="313" spans="1:15" x14ac:dyDescent="0.25">
      <c r="A313">
        <v>312</v>
      </c>
      <c r="B313" t="s">
        <v>83</v>
      </c>
      <c r="C313" t="s">
        <v>33</v>
      </c>
      <c r="D313">
        <v>107600</v>
      </c>
      <c r="E313" t="s">
        <v>38</v>
      </c>
      <c r="F313" t="s">
        <v>20</v>
      </c>
      <c r="O313">
        <f t="shared" si="10"/>
        <v>0</v>
      </c>
    </row>
    <row r="314" spans="1:15" x14ac:dyDescent="0.25">
      <c r="A314">
        <v>313</v>
      </c>
      <c r="B314" t="s">
        <v>12</v>
      </c>
      <c r="O314">
        <f t="shared" si="10"/>
        <v>0</v>
      </c>
    </row>
    <row r="315" spans="1:15" x14ac:dyDescent="0.25">
      <c r="A315">
        <v>314</v>
      </c>
      <c r="B315" t="s">
        <v>227</v>
      </c>
      <c r="C315" t="s">
        <v>11</v>
      </c>
      <c r="D315">
        <v>39700</v>
      </c>
      <c r="E315" t="s">
        <v>38</v>
      </c>
      <c r="F315" t="s">
        <v>20</v>
      </c>
      <c r="O315">
        <f t="shared" si="10"/>
        <v>0</v>
      </c>
    </row>
    <row r="316" spans="1:15" x14ac:dyDescent="0.25">
      <c r="A316">
        <v>315</v>
      </c>
      <c r="B316" t="s">
        <v>28</v>
      </c>
      <c r="C316" t="s">
        <v>13</v>
      </c>
      <c r="D316">
        <v>5800</v>
      </c>
      <c r="E316" t="s">
        <v>38</v>
      </c>
      <c r="F316" t="s">
        <v>20</v>
      </c>
      <c r="O316">
        <f t="shared" si="10"/>
        <v>0</v>
      </c>
    </row>
    <row r="317" spans="1:15" x14ac:dyDescent="0.25">
      <c r="A317">
        <v>316</v>
      </c>
      <c r="B317" t="s">
        <v>230</v>
      </c>
      <c r="C317" t="s">
        <v>15</v>
      </c>
      <c r="D317">
        <v>176400</v>
      </c>
      <c r="E317" t="s">
        <v>23</v>
      </c>
      <c r="F317" t="s">
        <v>9</v>
      </c>
      <c r="O317">
        <f t="shared" si="10"/>
        <v>0</v>
      </c>
    </row>
    <row r="318" spans="1:15" x14ac:dyDescent="0.25">
      <c r="A318">
        <v>317</v>
      </c>
      <c r="B318" t="s">
        <v>231</v>
      </c>
      <c r="C318" t="s">
        <v>17</v>
      </c>
      <c r="D318">
        <v>105700</v>
      </c>
      <c r="E318" t="s">
        <v>8</v>
      </c>
      <c r="F318" t="s">
        <v>9</v>
      </c>
      <c r="O318">
        <f t="shared" si="10"/>
        <v>0</v>
      </c>
    </row>
    <row r="319" spans="1:15" x14ac:dyDescent="0.25">
      <c r="A319">
        <v>318</v>
      </c>
      <c r="B319" t="s">
        <v>232</v>
      </c>
      <c r="C319" t="s">
        <v>19</v>
      </c>
      <c r="D319">
        <v>24300</v>
      </c>
      <c r="E319" t="s">
        <v>23</v>
      </c>
      <c r="F319" t="s">
        <v>9</v>
      </c>
      <c r="O319">
        <f t="shared" si="10"/>
        <v>0</v>
      </c>
    </row>
    <row r="320" spans="1:15" x14ac:dyDescent="0.25">
      <c r="A320">
        <v>319</v>
      </c>
      <c r="B320" t="s">
        <v>191</v>
      </c>
      <c r="C320" t="s">
        <v>22</v>
      </c>
      <c r="D320">
        <v>17300</v>
      </c>
      <c r="E320" t="s">
        <v>23</v>
      </c>
      <c r="F320" t="s">
        <v>9</v>
      </c>
      <c r="O320">
        <f t="shared" si="10"/>
        <v>0</v>
      </c>
    </row>
    <row r="321" spans="1:15" x14ac:dyDescent="0.25">
      <c r="A321">
        <v>320</v>
      </c>
      <c r="B321" t="s">
        <v>46</v>
      </c>
      <c r="C321" t="s">
        <v>25</v>
      </c>
      <c r="D321">
        <v>56600</v>
      </c>
      <c r="E321" t="s">
        <v>8</v>
      </c>
      <c r="F321" t="s">
        <v>9</v>
      </c>
      <c r="O321">
        <f t="shared" si="10"/>
        <v>0</v>
      </c>
    </row>
    <row r="322" spans="1:15" x14ac:dyDescent="0.25">
      <c r="A322">
        <v>321</v>
      </c>
      <c r="B322" t="s">
        <v>79</v>
      </c>
      <c r="C322" t="s">
        <v>27</v>
      </c>
      <c r="D322">
        <v>37100</v>
      </c>
      <c r="E322" t="s">
        <v>38</v>
      </c>
      <c r="F322" t="s">
        <v>20</v>
      </c>
      <c r="O322">
        <f t="shared" si="10"/>
        <v>0</v>
      </c>
    </row>
    <row r="323" spans="1:15" x14ac:dyDescent="0.25">
      <c r="A323">
        <v>322</v>
      </c>
      <c r="B323" t="s">
        <v>233</v>
      </c>
      <c r="C323" t="s">
        <v>29</v>
      </c>
      <c r="D323">
        <v>13700</v>
      </c>
      <c r="E323" t="s">
        <v>8</v>
      </c>
      <c r="F323" t="s">
        <v>9</v>
      </c>
      <c r="O323">
        <f t="shared" si="10"/>
        <v>0</v>
      </c>
    </row>
    <row r="324" spans="1:15" x14ac:dyDescent="0.25">
      <c r="A324">
        <v>323</v>
      </c>
      <c r="B324" t="s">
        <v>234</v>
      </c>
      <c r="C324" t="s">
        <v>31</v>
      </c>
      <c r="D324">
        <v>14400</v>
      </c>
      <c r="E324" t="s">
        <v>8</v>
      </c>
      <c r="F324" t="s">
        <v>9</v>
      </c>
      <c r="O324">
        <f t="shared" si="10"/>
        <v>0</v>
      </c>
    </row>
    <row r="325" spans="1:15" x14ac:dyDescent="0.25">
      <c r="A325">
        <v>324</v>
      </c>
      <c r="B325" t="s">
        <v>235</v>
      </c>
      <c r="C325" t="s">
        <v>33</v>
      </c>
      <c r="D325">
        <v>17300</v>
      </c>
      <c r="E325" t="s">
        <v>8</v>
      </c>
      <c r="F325" t="s">
        <v>9</v>
      </c>
      <c r="O325">
        <f t="shared" si="10"/>
        <v>0</v>
      </c>
    </row>
    <row r="326" spans="1:15" x14ac:dyDescent="0.25">
      <c r="A326">
        <v>325</v>
      </c>
      <c r="B326" t="s">
        <v>28</v>
      </c>
      <c r="C326" t="s">
        <v>7</v>
      </c>
      <c r="D326">
        <v>106700</v>
      </c>
      <c r="E326" t="s">
        <v>23</v>
      </c>
      <c r="F326" t="s">
        <v>9</v>
      </c>
      <c r="O326">
        <f t="shared" si="10"/>
        <v>0</v>
      </c>
    </row>
    <row r="327" spans="1:15" x14ac:dyDescent="0.25">
      <c r="A327">
        <v>326</v>
      </c>
      <c r="B327" t="s">
        <v>236</v>
      </c>
      <c r="C327" t="s">
        <v>11</v>
      </c>
      <c r="D327">
        <v>13200</v>
      </c>
      <c r="E327" t="s">
        <v>8</v>
      </c>
      <c r="F327" t="s">
        <v>9</v>
      </c>
      <c r="O327">
        <f t="shared" si="10"/>
        <v>0</v>
      </c>
    </row>
    <row r="328" spans="1:15" x14ac:dyDescent="0.25">
      <c r="A328">
        <v>327</v>
      </c>
      <c r="B328" t="s">
        <v>237</v>
      </c>
      <c r="C328" t="s">
        <v>13</v>
      </c>
      <c r="D328">
        <v>52900</v>
      </c>
      <c r="E328" t="s">
        <v>38</v>
      </c>
      <c r="F328" t="s">
        <v>9</v>
      </c>
      <c r="O328">
        <f t="shared" si="10"/>
        <v>0</v>
      </c>
    </row>
    <row r="329" spans="1:15" x14ac:dyDescent="0.25">
      <c r="A329">
        <v>328</v>
      </c>
      <c r="B329" t="s">
        <v>170</v>
      </c>
      <c r="C329" t="s">
        <v>15</v>
      </c>
      <c r="D329">
        <v>93600</v>
      </c>
      <c r="E329" t="s">
        <v>8</v>
      </c>
      <c r="F329" t="s">
        <v>9</v>
      </c>
      <c r="O329">
        <f t="shared" si="10"/>
        <v>0</v>
      </c>
    </row>
    <row r="330" spans="1:15" x14ac:dyDescent="0.25">
      <c r="A330">
        <v>329</v>
      </c>
      <c r="B330" t="s">
        <v>96</v>
      </c>
      <c r="C330" t="s">
        <v>17</v>
      </c>
      <c r="D330">
        <v>34100</v>
      </c>
      <c r="E330" t="s">
        <v>8</v>
      </c>
      <c r="F330" t="s">
        <v>9</v>
      </c>
      <c r="O330">
        <f t="shared" si="10"/>
        <v>0</v>
      </c>
    </row>
    <row r="331" spans="1:15" x14ac:dyDescent="0.25">
      <c r="A331">
        <v>330</v>
      </c>
      <c r="B331" t="s">
        <v>130</v>
      </c>
      <c r="C331" t="s">
        <v>19</v>
      </c>
      <c r="D331">
        <v>15700</v>
      </c>
      <c r="E331" t="s">
        <v>38</v>
      </c>
      <c r="F331" t="s">
        <v>20</v>
      </c>
      <c r="O331">
        <f t="shared" si="10"/>
        <v>0</v>
      </c>
    </row>
    <row r="332" spans="1:15" x14ac:dyDescent="0.25">
      <c r="A332">
        <v>331</v>
      </c>
      <c r="B332" t="s">
        <v>16</v>
      </c>
      <c r="C332" t="s">
        <v>22</v>
      </c>
      <c r="D332">
        <v>17500</v>
      </c>
      <c r="E332" t="s">
        <v>23</v>
      </c>
      <c r="F332" t="s">
        <v>9</v>
      </c>
      <c r="O332">
        <f t="shared" si="10"/>
        <v>0</v>
      </c>
    </row>
    <row r="333" spans="1:15" x14ac:dyDescent="0.25">
      <c r="A333">
        <v>332</v>
      </c>
      <c r="B333" t="s">
        <v>238</v>
      </c>
      <c r="C333" t="s">
        <v>25</v>
      </c>
      <c r="D333">
        <v>69000</v>
      </c>
      <c r="E333" t="s">
        <v>8</v>
      </c>
      <c r="F333" t="s">
        <v>9</v>
      </c>
      <c r="O333">
        <f t="shared" si="10"/>
        <v>0</v>
      </c>
    </row>
    <row r="334" spans="1:15" x14ac:dyDescent="0.25">
      <c r="A334">
        <v>333</v>
      </c>
      <c r="B334" t="s">
        <v>192</v>
      </c>
      <c r="C334" t="s">
        <v>27</v>
      </c>
      <c r="D334">
        <v>6900</v>
      </c>
      <c r="E334" t="s">
        <v>8</v>
      </c>
      <c r="F334" t="s">
        <v>9</v>
      </c>
      <c r="O334">
        <f t="shared" si="10"/>
        <v>0</v>
      </c>
    </row>
    <row r="335" spans="1:15" x14ac:dyDescent="0.25">
      <c r="A335">
        <v>334</v>
      </c>
      <c r="B335" t="s">
        <v>167</v>
      </c>
      <c r="C335" t="s">
        <v>29</v>
      </c>
      <c r="D335">
        <v>108700</v>
      </c>
      <c r="E335" t="s">
        <v>8</v>
      </c>
      <c r="F335" t="s">
        <v>9</v>
      </c>
      <c r="O335">
        <f t="shared" si="10"/>
        <v>0</v>
      </c>
    </row>
    <row r="336" spans="1:15" x14ac:dyDescent="0.25">
      <c r="A336">
        <v>335</v>
      </c>
      <c r="B336" t="s">
        <v>164</v>
      </c>
      <c r="C336" t="s">
        <v>31</v>
      </c>
      <c r="D336">
        <v>227700</v>
      </c>
      <c r="E336" t="s">
        <v>38</v>
      </c>
      <c r="F336" t="s">
        <v>20</v>
      </c>
      <c r="O336">
        <f t="shared" si="10"/>
        <v>0</v>
      </c>
    </row>
    <row r="337" spans="1:15" x14ac:dyDescent="0.25">
      <c r="A337">
        <v>336</v>
      </c>
      <c r="B337" t="s">
        <v>145</v>
      </c>
      <c r="C337" t="s">
        <v>33</v>
      </c>
      <c r="D337">
        <v>7100</v>
      </c>
      <c r="E337" t="s">
        <v>38</v>
      </c>
      <c r="F337" t="s">
        <v>9</v>
      </c>
      <c r="O337">
        <f t="shared" si="10"/>
        <v>0</v>
      </c>
    </row>
    <row r="338" spans="1:15" x14ac:dyDescent="0.25">
      <c r="A338">
        <v>337</v>
      </c>
      <c r="B338" t="s">
        <v>239</v>
      </c>
      <c r="C338" t="s">
        <v>7</v>
      </c>
      <c r="D338">
        <v>5000</v>
      </c>
      <c r="E338" t="s">
        <v>8</v>
      </c>
      <c r="F338" t="s">
        <v>9</v>
      </c>
      <c r="O338">
        <f t="shared" si="10"/>
        <v>0</v>
      </c>
    </row>
    <row r="339" spans="1:15" x14ac:dyDescent="0.25">
      <c r="A339">
        <v>338</v>
      </c>
      <c r="B339" t="s">
        <v>106</v>
      </c>
      <c r="C339" t="s">
        <v>11</v>
      </c>
      <c r="D339">
        <v>28200</v>
      </c>
      <c r="E339" t="s">
        <v>8</v>
      </c>
      <c r="F339" t="s">
        <v>9</v>
      </c>
      <c r="O339">
        <f t="shared" si="10"/>
        <v>0</v>
      </c>
    </row>
    <row r="340" spans="1:15" x14ac:dyDescent="0.25">
      <c r="A340">
        <v>339</v>
      </c>
      <c r="B340" t="s">
        <v>97</v>
      </c>
      <c r="C340" t="s">
        <v>13</v>
      </c>
      <c r="D340">
        <v>31000</v>
      </c>
      <c r="E340" t="s">
        <v>23</v>
      </c>
      <c r="F340" t="s">
        <v>9</v>
      </c>
      <c r="O340">
        <f t="shared" si="10"/>
        <v>0</v>
      </c>
    </row>
    <row r="341" spans="1:15" x14ac:dyDescent="0.25">
      <c r="A341">
        <v>340</v>
      </c>
      <c r="B341" t="s">
        <v>213</v>
      </c>
      <c r="C341" t="s">
        <v>15</v>
      </c>
      <c r="D341">
        <v>185600</v>
      </c>
      <c r="E341" t="s">
        <v>38</v>
      </c>
      <c r="F341" t="s">
        <v>20</v>
      </c>
      <c r="O341">
        <f t="shared" si="10"/>
        <v>0</v>
      </c>
    </row>
    <row r="342" spans="1:15" x14ac:dyDescent="0.25">
      <c r="A342">
        <v>341</v>
      </c>
      <c r="B342" t="s">
        <v>240</v>
      </c>
      <c r="C342" t="s">
        <v>17</v>
      </c>
      <c r="D342">
        <v>13400</v>
      </c>
      <c r="E342" t="s">
        <v>8</v>
      </c>
      <c r="F342" t="s">
        <v>9</v>
      </c>
      <c r="O342">
        <f t="shared" si="10"/>
        <v>0</v>
      </c>
    </row>
    <row r="343" spans="1:15" x14ac:dyDescent="0.25">
      <c r="A343">
        <v>342</v>
      </c>
      <c r="B343" t="s">
        <v>168</v>
      </c>
      <c r="C343" t="s">
        <v>19</v>
      </c>
      <c r="D343">
        <v>36500</v>
      </c>
      <c r="E343" t="s">
        <v>8</v>
      </c>
      <c r="F343" t="s">
        <v>9</v>
      </c>
      <c r="O343">
        <f t="shared" si="10"/>
        <v>0</v>
      </c>
    </row>
    <row r="344" spans="1:15" x14ac:dyDescent="0.25">
      <c r="A344">
        <v>343</v>
      </c>
      <c r="B344" t="s">
        <v>49</v>
      </c>
      <c r="C344" t="s">
        <v>22</v>
      </c>
      <c r="D344">
        <v>36000</v>
      </c>
      <c r="E344" t="s">
        <v>8</v>
      </c>
      <c r="F344" t="s">
        <v>9</v>
      </c>
      <c r="O344">
        <f t="shared" si="10"/>
        <v>0</v>
      </c>
    </row>
    <row r="345" spans="1:15" x14ac:dyDescent="0.25">
      <c r="A345">
        <v>344</v>
      </c>
      <c r="B345" t="s">
        <v>114</v>
      </c>
      <c r="C345" t="s">
        <v>25</v>
      </c>
      <c r="D345">
        <v>5000</v>
      </c>
      <c r="E345" t="s">
        <v>8</v>
      </c>
      <c r="F345" t="s">
        <v>9</v>
      </c>
      <c r="O345">
        <f t="shared" si="10"/>
        <v>0</v>
      </c>
    </row>
    <row r="346" spans="1:15" x14ac:dyDescent="0.25">
      <c r="A346">
        <v>345</v>
      </c>
      <c r="B346" t="s">
        <v>68</v>
      </c>
      <c r="O346">
        <f t="shared" si="10"/>
        <v>0</v>
      </c>
    </row>
    <row r="347" spans="1:15" x14ac:dyDescent="0.25">
      <c r="A347">
        <v>346</v>
      </c>
      <c r="B347" t="s">
        <v>102</v>
      </c>
      <c r="C347" t="s">
        <v>29</v>
      </c>
      <c r="D347">
        <v>49600</v>
      </c>
      <c r="E347" t="s">
        <v>8</v>
      </c>
      <c r="F347" t="s">
        <v>9</v>
      </c>
      <c r="O347">
        <f t="shared" si="10"/>
        <v>0</v>
      </c>
    </row>
    <row r="348" spans="1:15" x14ac:dyDescent="0.25">
      <c r="A348">
        <v>347</v>
      </c>
      <c r="B348" t="s">
        <v>241</v>
      </c>
      <c r="C348" t="s">
        <v>31</v>
      </c>
      <c r="D348">
        <v>8800</v>
      </c>
      <c r="E348" t="s">
        <v>8</v>
      </c>
      <c r="F348" t="s">
        <v>9</v>
      </c>
      <c r="O348">
        <f t="shared" si="10"/>
        <v>0</v>
      </c>
    </row>
    <row r="349" spans="1:15" x14ac:dyDescent="0.25">
      <c r="A349">
        <v>348</v>
      </c>
      <c r="B349" t="s">
        <v>52</v>
      </c>
      <c r="C349" t="s">
        <v>33</v>
      </c>
      <c r="D349">
        <v>8900</v>
      </c>
      <c r="E349" t="s">
        <v>8</v>
      </c>
      <c r="F349" t="s">
        <v>9</v>
      </c>
      <c r="O349">
        <f t="shared" si="10"/>
        <v>0</v>
      </c>
    </row>
    <row r="350" spans="1:15" x14ac:dyDescent="0.25">
      <c r="A350">
        <v>349</v>
      </c>
      <c r="B350" t="s">
        <v>242</v>
      </c>
      <c r="C350" t="s">
        <v>7</v>
      </c>
      <c r="D350">
        <v>45700</v>
      </c>
      <c r="E350" t="s">
        <v>38</v>
      </c>
      <c r="F350" t="s">
        <v>20</v>
      </c>
      <c r="O350">
        <f t="shared" si="10"/>
        <v>0</v>
      </c>
    </row>
    <row r="351" spans="1:15" x14ac:dyDescent="0.25">
      <c r="A351">
        <v>350</v>
      </c>
      <c r="B351" t="s">
        <v>243</v>
      </c>
      <c r="C351" t="s">
        <v>11</v>
      </c>
      <c r="D351">
        <v>136400</v>
      </c>
      <c r="E351" t="s">
        <v>23</v>
      </c>
      <c r="F351" t="s">
        <v>9</v>
      </c>
      <c r="O351">
        <f t="shared" si="10"/>
        <v>0</v>
      </c>
    </row>
    <row r="352" spans="1:15" x14ac:dyDescent="0.25">
      <c r="A352">
        <v>351</v>
      </c>
      <c r="B352" t="s">
        <v>244</v>
      </c>
      <c r="C352" t="s">
        <v>13</v>
      </c>
      <c r="D352">
        <v>41500</v>
      </c>
      <c r="E352" t="s">
        <v>8</v>
      </c>
      <c r="F352" t="s">
        <v>9</v>
      </c>
      <c r="O352">
        <f t="shared" si="10"/>
        <v>0</v>
      </c>
    </row>
    <row r="353" spans="1:15" x14ac:dyDescent="0.25">
      <c r="A353">
        <v>352</v>
      </c>
      <c r="B353" t="s">
        <v>51</v>
      </c>
      <c r="C353" t="s">
        <v>15</v>
      </c>
      <c r="D353">
        <v>99900</v>
      </c>
      <c r="E353" t="s">
        <v>8</v>
      </c>
      <c r="F353" t="s">
        <v>9</v>
      </c>
      <c r="O353">
        <f t="shared" si="10"/>
        <v>0</v>
      </c>
    </row>
    <row r="354" spans="1:15" x14ac:dyDescent="0.25">
      <c r="A354">
        <v>353</v>
      </c>
      <c r="B354" t="s">
        <v>245</v>
      </c>
      <c r="C354" t="s">
        <v>17</v>
      </c>
      <c r="D354">
        <v>7800</v>
      </c>
      <c r="E354" t="s">
        <v>8</v>
      </c>
      <c r="F354" t="s">
        <v>9</v>
      </c>
      <c r="O354">
        <f t="shared" si="10"/>
        <v>0</v>
      </c>
    </row>
    <row r="355" spans="1:15" x14ac:dyDescent="0.25">
      <c r="A355">
        <v>354</v>
      </c>
      <c r="B355" t="s">
        <v>221</v>
      </c>
      <c r="C355" t="s">
        <v>19</v>
      </c>
      <c r="D355">
        <v>17900</v>
      </c>
      <c r="E355" t="s">
        <v>8</v>
      </c>
      <c r="F355" t="s">
        <v>9</v>
      </c>
      <c r="O355">
        <f t="shared" si="10"/>
        <v>0</v>
      </c>
    </row>
    <row r="356" spans="1:15" x14ac:dyDescent="0.25">
      <c r="A356">
        <v>355</v>
      </c>
      <c r="B356" t="s">
        <v>74</v>
      </c>
      <c r="C356" t="s">
        <v>22</v>
      </c>
      <c r="D356">
        <v>56200</v>
      </c>
      <c r="E356" t="s">
        <v>38</v>
      </c>
      <c r="F356" t="s">
        <v>20</v>
      </c>
      <c r="O356">
        <f t="shared" si="10"/>
        <v>0</v>
      </c>
    </row>
    <row r="357" spans="1:15" x14ac:dyDescent="0.25">
      <c r="A357">
        <v>356</v>
      </c>
      <c r="B357" t="s">
        <v>246</v>
      </c>
      <c r="C357" t="s">
        <v>25</v>
      </c>
      <c r="D357">
        <v>35600</v>
      </c>
      <c r="E357" t="s">
        <v>38</v>
      </c>
      <c r="F357" t="s">
        <v>9</v>
      </c>
      <c r="O357">
        <f t="shared" si="10"/>
        <v>0</v>
      </c>
    </row>
    <row r="358" spans="1:15" x14ac:dyDescent="0.25">
      <c r="A358">
        <v>357</v>
      </c>
      <c r="B358" t="s">
        <v>30</v>
      </c>
      <c r="C358" t="s">
        <v>27</v>
      </c>
      <c r="D358">
        <v>17300</v>
      </c>
      <c r="E358" t="s">
        <v>8</v>
      </c>
      <c r="F358" t="s">
        <v>9</v>
      </c>
      <c r="O358">
        <f t="shared" si="10"/>
        <v>0</v>
      </c>
    </row>
    <row r="359" spans="1:15" x14ac:dyDescent="0.25">
      <c r="A359">
        <v>358</v>
      </c>
      <c r="B359" t="s">
        <v>105</v>
      </c>
      <c r="C359" t="s">
        <v>29</v>
      </c>
      <c r="D359">
        <v>6000</v>
      </c>
      <c r="E359" t="s">
        <v>8</v>
      </c>
      <c r="F359" t="s">
        <v>9</v>
      </c>
      <c r="O359">
        <f t="shared" si="10"/>
        <v>0</v>
      </c>
    </row>
    <row r="360" spans="1:15" x14ac:dyDescent="0.25">
      <c r="A360">
        <v>359</v>
      </c>
      <c r="B360" t="s">
        <v>66</v>
      </c>
      <c r="C360" t="s">
        <v>31</v>
      </c>
      <c r="D360">
        <v>13900</v>
      </c>
      <c r="E360" t="s">
        <v>8</v>
      </c>
      <c r="F360" t="s">
        <v>9</v>
      </c>
      <c r="O360">
        <f t="shared" si="10"/>
        <v>0</v>
      </c>
    </row>
    <row r="361" spans="1:15" x14ac:dyDescent="0.25">
      <c r="A361">
        <v>360</v>
      </c>
      <c r="B361" t="s">
        <v>175</v>
      </c>
      <c r="C361" t="s">
        <v>33</v>
      </c>
      <c r="D361">
        <v>23900</v>
      </c>
      <c r="E361" t="s">
        <v>8</v>
      </c>
      <c r="F361" t="s">
        <v>9</v>
      </c>
      <c r="O361">
        <f t="shared" si="10"/>
        <v>0</v>
      </c>
    </row>
    <row r="362" spans="1:15" x14ac:dyDescent="0.25">
      <c r="A362">
        <v>361</v>
      </c>
      <c r="B362" t="s">
        <v>247</v>
      </c>
      <c r="C362" t="s">
        <v>7</v>
      </c>
      <c r="D362">
        <v>28600</v>
      </c>
      <c r="E362" t="s">
        <v>38</v>
      </c>
      <c r="F362" t="s">
        <v>20</v>
      </c>
      <c r="O362">
        <f t="shared" si="10"/>
        <v>0</v>
      </c>
    </row>
    <row r="363" spans="1:15" x14ac:dyDescent="0.25">
      <c r="A363">
        <v>362</v>
      </c>
      <c r="B363" t="s">
        <v>63</v>
      </c>
      <c r="C363" t="s">
        <v>11</v>
      </c>
      <c r="D363">
        <v>12900</v>
      </c>
      <c r="E363" t="s">
        <v>8</v>
      </c>
      <c r="F363" t="s">
        <v>9</v>
      </c>
      <c r="O363">
        <f t="shared" si="10"/>
        <v>0</v>
      </c>
    </row>
    <row r="364" spans="1:15" x14ac:dyDescent="0.25">
      <c r="A364">
        <v>363</v>
      </c>
      <c r="B364" t="s">
        <v>115</v>
      </c>
      <c r="C364" t="s">
        <v>13</v>
      </c>
      <c r="D364">
        <v>76900</v>
      </c>
      <c r="E364" t="s">
        <v>8</v>
      </c>
      <c r="F364" t="s">
        <v>9</v>
      </c>
      <c r="O364">
        <f t="shared" si="10"/>
        <v>0</v>
      </c>
    </row>
    <row r="365" spans="1:15" x14ac:dyDescent="0.25">
      <c r="A365">
        <v>364</v>
      </c>
      <c r="B365" t="s">
        <v>26</v>
      </c>
      <c r="C365" t="s">
        <v>15</v>
      </c>
      <c r="D365">
        <v>17900</v>
      </c>
      <c r="E365" t="s">
        <v>8</v>
      </c>
      <c r="F365" t="s">
        <v>9</v>
      </c>
      <c r="O365">
        <f t="shared" si="10"/>
        <v>0</v>
      </c>
    </row>
    <row r="366" spans="1:15" x14ac:dyDescent="0.25">
      <c r="A366">
        <v>365</v>
      </c>
      <c r="B366" t="s">
        <v>144</v>
      </c>
      <c r="C366" t="s">
        <v>17</v>
      </c>
      <c r="D366">
        <v>36300</v>
      </c>
      <c r="E366" t="s">
        <v>8</v>
      </c>
      <c r="F366" t="s">
        <v>9</v>
      </c>
      <c r="O366">
        <f t="shared" si="10"/>
        <v>0</v>
      </c>
    </row>
    <row r="367" spans="1:15" x14ac:dyDescent="0.25">
      <c r="A367">
        <v>366</v>
      </c>
      <c r="B367" t="s">
        <v>171</v>
      </c>
      <c r="C367" t="s">
        <v>19</v>
      </c>
      <c r="D367">
        <v>9900</v>
      </c>
      <c r="E367" t="s">
        <v>8</v>
      </c>
      <c r="F367" t="s">
        <v>9</v>
      </c>
      <c r="O367">
        <f t="shared" si="10"/>
        <v>0</v>
      </c>
    </row>
    <row r="368" spans="1:15" x14ac:dyDescent="0.25">
      <c r="A368">
        <v>367</v>
      </c>
      <c r="B368" t="s">
        <v>68</v>
      </c>
      <c r="C368" t="s">
        <v>22</v>
      </c>
      <c r="D368">
        <v>17800</v>
      </c>
      <c r="E368" t="s">
        <v>8</v>
      </c>
      <c r="F368" t="s">
        <v>9</v>
      </c>
      <c r="O368">
        <f t="shared" si="10"/>
        <v>0</v>
      </c>
    </row>
    <row r="369" spans="1:15" x14ac:dyDescent="0.25">
      <c r="A369">
        <v>368</v>
      </c>
      <c r="B369" t="s">
        <v>248</v>
      </c>
      <c r="C369" t="s">
        <v>25</v>
      </c>
      <c r="D369">
        <v>32200</v>
      </c>
      <c r="E369" t="s">
        <v>8</v>
      </c>
      <c r="F369" t="s">
        <v>9</v>
      </c>
      <c r="O369">
        <f t="shared" si="10"/>
        <v>0</v>
      </c>
    </row>
    <row r="370" spans="1:15" x14ac:dyDescent="0.25">
      <c r="A370">
        <v>369</v>
      </c>
      <c r="B370" t="s">
        <v>249</v>
      </c>
      <c r="C370" t="s">
        <v>27</v>
      </c>
      <c r="D370">
        <v>81100</v>
      </c>
      <c r="E370" t="s">
        <v>38</v>
      </c>
      <c r="F370" t="s">
        <v>9</v>
      </c>
      <c r="O370">
        <f t="shared" si="10"/>
        <v>0</v>
      </c>
    </row>
    <row r="371" spans="1:15" x14ac:dyDescent="0.25">
      <c r="A371">
        <v>370</v>
      </c>
      <c r="B371" t="s">
        <v>250</v>
      </c>
      <c r="C371" t="s">
        <v>29</v>
      </c>
      <c r="D371">
        <v>8000</v>
      </c>
      <c r="E371" t="s">
        <v>8</v>
      </c>
      <c r="F371" t="s">
        <v>9</v>
      </c>
      <c r="O371">
        <f t="shared" ref="O371:O434" si="11">N371*N371</f>
        <v>0</v>
      </c>
    </row>
    <row r="372" spans="1:15" x14ac:dyDescent="0.25">
      <c r="A372">
        <v>371</v>
      </c>
      <c r="B372" t="s">
        <v>224</v>
      </c>
      <c r="C372" t="s">
        <v>31</v>
      </c>
      <c r="D372">
        <v>27500</v>
      </c>
      <c r="E372" t="s">
        <v>8</v>
      </c>
      <c r="F372" t="s">
        <v>9</v>
      </c>
      <c r="O372">
        <f t="shared" si="11"/>
        <v>0</v>
      </c>
    </row>
    <row r="373" spans="1:15" x14ac:dyDescent="0.25">
      <c r="A373">
        <v>372</v>
      </c>
      <c r="B373" t="s">
        <v>165</v>
      </c>
      <c r="C373" t="s">
        <v>33</v>
      </c>
      <c r="D373">
        <v>158300</v>
      </c>
      <c r="E373" t="s">
        <v>38</v>
      </c>
      <c r="F373" t="s">
        <v>9</v>
      </c>
      <c r="O373">
        <f t="shared" si="11"/>
        <v>0</v>
      </c>
    </row>
    <row r="374" spans="1:15" x14ac:dyDescent="0.25">
      <c r="A374">
        <v>373</v>
      </c>
      <c r="B374" t="s">
        <v>251</v>
      </c>
      <c r="C374" t="s">
        <v>7</v>
      </c>
      <c r="D374">
        <v>12700</v>
      </c>
      <c r="E374" t="s">
        <v>8</v>
      </c>
      <c r="F374" t="s">
        <v>9</v>
      </c>
      <c r="O374">
        <f t="shared" si="11"/>
        <v>0</v>
      </c>
    </row>
    <row r="375" spans="1:15" x14ac:dyDescent="0.25">
      <c r="A375">
        <v>374</v>
      </c>
      <c r="B375" t="s">
        <v>252</v>
      </c>
      <c r="C375" t="s">
        <v>11</v>
      </c>
      <c r="D375">
        <v>24100</v>
      </c>
      <c r="E375" t="s">
        <v>8</v>
      </c>
      <c r="F375" t="s">
        <v>9</v>
      </c>
      <c r="O375">
        <f t="shared" si="11"/>
        <v>0</v>
      </c>
    </row>
    <row r="376" spans="1:15" x14ac:dyDescent="0.25">
      <c r="A376">
        <v>375</v>
      </c>
      <c r="B376" t="s">
        <v>18</v>
      </c>
      <c r="C376" t="s">
        <v>13</v>
      </c>
      <c r="D376">
        <v>53400</v>
      </c>
      <c r="E376" t="s">
        <v>8</v>
      </c>
      <c r="F376" t="s">
        <v>9</v>
      </c>
      <c r="O376">
        <f t="shared" si="11"/>
        <v>0</v>
      </c>
    </row>
    <row r="377" spans="1:15" x14ac:dyDescent="0.25">
      <c r="A377">
        <v>376</v>
      </c>
      <c r="B377" t="s">
        <v>115</v>
      </c>
      <c r="O377">
        <f t="shared" si="11"/>
        <v>0</v>
      </c>
    </row>
    <row r="378" spans="1:15" x14ac:dyDescent="0.25">
      <c r="A378">
        <v>377</v>
      </c>
      <c r="B378" t="s">
        <v>207</v>
      </c>
      <c r="C378" t="s">
        <v>17</v>
      </c>
      <c r="D378">
        <v>11400</v>
      </c>
      <c r="E378" t="s">
        <v>8</v>
      </c>
      <c r="F378" t="s">
        <v>9</v>
      </c>
      <c r="O378">
        <f t="shared" si="11"/>
        <v>0</v>
      </c>
    </row>
    <row r="379" spans="1:15" x14ac:dyDescent="0.25">
      <c r="A379">
        <v>378</v>
      </c>
      <c r="B379" t="s">
        <v>191</v>
      </c>
      <c r="C379" t="s">
        <v>19</v>
      </c>
      <c r="D379">
        <v>21300</v>
      </c>
      <c r="E379" t="s">
        <v>8</v>
      </c>
      <c r="F379" t="s">
        <v>9</v>
      </c>
      <c r="O379">
        <f t="shared" si="11"/>
        <v>0</v>
      </c>
    </row>
    <row r="380" spans="1:15" x14ac:dyDescent="0.25">
      <c r="A380">
        <v>379</v>
      </c>
      <c r="B380" t="s">
        <v>77</v>
      </c>
      <c r="C380" t="s">
        <v>22</v>
      </c>
      <c r="D380">
        <v>24800</v>
      </c>
      <c r="E380" t="s">
        <v>8</v>
      </c>
      <c r="F380" t="s">
        <v>20</v>
      </c>
      <c r="O380">
        <f t="shared" si="11"/>
        <v>0</v>
      </c>
    </row>
    <row r="381" spans="1:15" x14ac:dyDescent="0.25">
      <c r="A381">
        <v>380</v>
      </c>
      <c r="B381" t="s">
        <v>139</v>
      </c>
      <c r="C381" t="s">
        <v>25</v>
      </c>
      <c r="D381">
        <v>96400</v>
      </c>
      <c r="E381" t="s">
        <v>8</v>
      </c>
      <c r="F381" t="s">
        <v>9</v>
      </c>
      <c r="O381">
        <f t="shared" si="11"/>
        <v>0</v>
      </c>
    </row>
    <row r="382" spans="1:15" x14ac:dyDescent="0.25">
      <c r="A382">
        <v>381</v>
      </c>
      <c r="B382" t="s">
        <v>70</v>
      </c>
      <c r="O382">
        <f t="shared" si="11"/>
        <v>0</v>
      </c>
    </row>
    <row r="383" spans="1:15" x14ac:dyDescent="0.25">
      <c r="A383">
        <v>382</v>
      </c>
      <c r="B383" t="s">
        <v>253</v>
      </c>
      <c r="C383" t="s">
        <v>29</v>
      </c>
      <c r="D383">
        <v>18800</v>
      </c>
      <c r="E383" t="s">
        <v>23</v>
      </c>
      <c r="F383" t="s">
        <v>9</v>
      </c>
      <c r="O383">
        <f t="shared" si="11"/>
        <v>0</v>
      </c>
    </row>
    <row r="384" spans="1:15" x14ac:dyDescent="0.25">
      <c r="A384">
        <v>383</v>
      </c>
      <c r="B384" t="s">
        <v>254</v>
      </c>
      <c r="C384" t="s">
        <v>31</v>
      </c>
      <c r="D384">
        <v>41700</v>
      </c>
      <c r="E384" t="s">
        <v>8</v>
      </c>
      <c r="F384" t="s">
        <v>20</v>
      </c>
      <c r="O384">
        <f t="shared" si="11"/>
        <v>0</v>
      </c>
    </row>
    <row r="385" spans="1:15" x14ac:dyDescent="0.25">
      <c r="A385">
        <v>384</v>
      </c>
      <c r="B385" t="s">
        <v>243</v>
      </c>
      <c r="C385" t="s">
        <v>33</v>
      </c>
      <c r="D385">
        <v>27100</v>
      </c>
      <c r="E385" t="s">
        <v>8</v>
      </c>
      <c r="F385" t="s">
        <v>9</v>
      </c>
      <c r="O385">
        <f t="shared" si="11"/>
        <v>0</v>
      </c>
    </row>
    <row r="386" spans="1:15" x14ac:dyDescent="0.25">
      <c r="A386">
        <v>385</v>
      </c>
      <c r="B386" t="s">
        <v>91</v>
      </c>
      <c r="C386" t="s">
        <v>7</v>
      </c>
      <c r="D386">
        <v>38100</v>
      </c>
      <c r="E386" t="s">
        <v>8</v>
      </c>
      <c r="F386" t="s">
        <v>9</v>
      </c>
      <c r="O386">
        <f t="shared" si="11"/>
        <v>0</v>
      </c>
    </row>
    <row r="387" spans="1:15" x14ac:dyDescent="0.25">
      <c r="A387">
        <v>386</v>
      </c>
      <c r="B387" t="s">
        <v>255</v>
      </c>
      <c r="C387" t="s">
        <v>11</v>
      </c>
      <c r="D387">
        <v>73100</v>
      </c>
      <c r="E387" t="s">
        <v>8</v>
      </c>
      <c r="F387" t="s">
        <v>9</v>
      </c>
      <c r="O387">
        <f t="shared" si="11"/>
        <v>0</v>
      </c>
    </row>
    <row r="388" spans="1:15" x14ac:dyDescent="0.25">
      <c r="A388">
        <v>387</v>
      </c>
      <c r="B388" t="s">
        <v>200</v>
      </c>
      <c r="C388" t="s">
        <v>13</v>
      </c>
      <c r="D388">
        <v>68500</v>
      </c>
      <c r="E388" t="s">
        <v>8</v>
      </c>
      <c r="F388" t="s">
        <v>9</v>
      </c>
      <c r="O388">
        <f t="shared" si="11"/>
        <v>0</v>
      </c>
    </row>
    <row r="389" spans="1:15" x14ac:dyDescent="0.25">
      <c r="A389">
        <v>388</v>
      </c>
      <c r="B389" t="s">
        <v>256</v>
      </c>
      <c r="C389" t="s">
        <v>15</v>
      </c>
      <c r="D389">
        <v>12400</v>
      </c>
      <c r="E389" t="s">
        <v>8</v>
      </c>
      <c r="F389" t="s">
        <v>9</v>
      </c>
      <c r="O389">
        <f t="shared" si="11"/>
        <v>0</v>
      </c>
    </row>
    <row r="390" spans="1:15" x14ac:dyDescent="0.25">
      <c r="A390">
        <v>389</v>
      </c>
      <c r="B390" t="s">
        <v>173</v>
      </c>
      <c r="C390" t="s">
        <v>17</v>
      </c>
      <c r="D390">
        <v>38500</v>
      </c>
      <c r="E390" t="s">
        <v>8</v>
      </c>
      <c r="F390" t="s">
        <v>9</v>
      </c>
      <c r="O390">
        <f t="shared" si="11"/>
        <v>0</v>
      </c>
    </row>
    <row r="391" spans="1:15" x14ac:dyDescent="0.25">
      <c r="A391">
        <v>390</v>
      </c>
      <c r="B391" t="s">
        <v>257</v>
      </c>
      <c r="C391" t="s">
        <v>19</v>
      </c>
      <c r="D391">
        <v>25700</v>
      </c>
      <c r="E391" t="s">
        <v>8</v>
      </c>
      <c r="F391" t="s">
        <v>20</v>
      </c>
      <c r="O391">
        <f t="shared" si="11"/>
        <v>0</v>
      </c>
    </row>
    <row r="392" spans="1:15" x14ac:dyDescent="0.25">
      <c r="A392">
        <v>391</v>
      </c>
      <c r="B392" t="s">
        <v>160</v>
      </c>
      <c r="C392" t="s">
        <v>22</v>
      </c>
      <c r="D392">
        <v>17000</v>
      </c>
      <c r="E392" t="s">
        <v>8</v>
      </c>
      <c r="F392" t="s">
        <v>9</v>
      </c>
      <c r="O392">
        <f t="shared" si="11"/>
        <v>0</v>
      </c>
    </row>
    <row r="393" spans="1:15" x14ac:dyDescent="0.25">
      <c r="A393">
        <v>392</v>
      </c>
      <c r="B393" t="s">
        <v>208</v>
      </c>
      <c r="C393" t="s">
        <v>25</v>
      </c>
      <c r="D393">
        <v>90700</v>
      </c>
      <c r="E393" t="s">
        <v>38</v>
      </c>
      <c r="F393" t="s">
        <v>20</v>
      </c>
      <c r="O393">
        <f t="shared" si="11"/>
        <v>0</v>
      </c>
    </row>
    <row r="394" spans="1:15" x14ac:dyDescent="0.25">
      <c r="A394">
        <v>393</v>
      </c>
      <c r="B394" t="s">
        <v>149</v>
      </c>
      <c r="C394" t="s">
        <v>27</v>
      </c>
      <c r="D394">
        <v>10300</v>
      </c>
      <c r="E394" t="s">
        <v>23</v>
      </c>
      <c r="F394" t="s">
        <v>9</v>
      </c>
      <c r="O394">
        <f t="shared" si="11"/>
        <v>0</v>
      </c>
    </row>
    <row r="395" spans="1:15" x14ac:dyDescent="0.25">
      <c r="A395">
        <v>394</v>
      </c>
      <c r="B395" t="s">
        <v>258</v>
      </c>
      <c r="C395" t="s">
        <v>29</v>
      </c>
      <c r="D395">
        <v>31300</v>
      </c>
      <c r="E395" t="s">
        <v>8</v>
      </c>
      <c r="F395" t="s">
        <v>9</v>
      </c>
      <c r="O395">
        <f t="shared" si="11"/>
        <v>0</v>
      </c>
    </row>
    <row r="396" spans="1:15" x14ac:dyDescent="0.25">
      <c r="A396">
        <v>395</v>
      </c>
      <c r="B396" t="s">
        <v>259</v>
      </c>
      <c r="C396" t="s">
        <v>31</v>
      </c>
      <c r="D396">
        <v>33300</v>
      </c>
      <c r="E396" t="s">
        <v>8</v>
      </c>
      <c r="F396" t="s">
        <v>9</v>
      </c>
      <c r="O396">
        <f t="shared" si="11"/>
        <v>0</v>
      </c>
    </row>
    <row r="397" spans="1:15" x14ac:dyDescent="0.25">
      <c r="A397">
        <v>396</v>
      </c>
      <c r="B397" t="s">
        <v>204</v>
      </c>
      <c r="C397" t="s">
        <v>33</v>
      </c>
      <c r="D397">
        <v>19900</v>
      </c>
      <c r="E397" t="s">
        <v>8</v>
      </c>
      <c r="F397" t="s">
        <v>9</v>
      </c>
      <c r="O397">
        <f t="shared" si="11"/>
        <v>0</v>
      </c>
    </row>
    <row r="398" spans="1:15" x14ac:dyDescent="0.25">
      <c r="A398">
        <v>397</v>
      </c>
      <c r="B398" t="s">
        <v>260</v>
      </c>
      <c r="C398" t="s">
        <v>7</v>
      </c>
      <c r="D398">
        <v>14400</v>
      </c>
      <c r="E398" t="s">
        <v>8</v>
      </c>
      <c r="F398" t="s">
        <v>9</v>
      </c>
      <c r="O398">
        <f t="shared" si="11"/>
        <v>0</v>
      </c>
    </row>
    <row r="399" spans="1:15" x14ac:dyDescent="0.25">
      <c r="A399">
        <v>398</v>
      </c>
      <c r="B399" t="s">
        <v>261</v>
      </c>
      <c r="C399" t="s">
        <v>11</v>
      </c>
      <c r="D399">
        <v>11700</v>
      </c>
      <c r="E399" t="s">
        <v>8</v>
      </c>
      <c r="F399" t="s">
        <v>9</v>
      </c>
      <c r="O399">
        <f t="shared" si="11"/>
        <v>0</v>
      </c>
    </row>
    <row r="400" spans="1:15" x14ac:dyDescent="0.25">
      <c r="A400">
        <v>399</v>
      </c>
      <c r="B400" t="s">
        <v>261</v>
      </c>
      <c r="C400" t="s">
        <v>13</v>
      </c>
      <c r="D400">
        <v>37200</v>
      </c>
      <c r="E400" t="s">
        <v>8</v>
      </c>
      <c r="F400" t="s">
        <v>9</v>
      </c>
      <c r="O400">
        <f t="shared" si="11"/>
        <v>0</v>
      </c>
    </row>
    <row r="401" spans="1:15" x14ac:dyDescent="0.25">
      <c r="A401">
        <v>400</v>
      </c>
      <c r="B401" t="s">
        <v>262</v>
      </c>
      <c r="C401" t="s">
        <v>15</v>
      </c>
      <c r="D401">
        <v>9900</v>
      </c>
      <c r="E401" t="s">
        <v>8</v>
      </c>
      <c r="F401" t="s">
        <v>9</v>
      </c>
      <c r="O401">
        <f t="shared" si="11"/>
        <v>0</v>
      </c>
    </row>
    <row r="402" spans="1:15" x14ac:dyDescent="0.25">
      <c r="A402">
        <v>401</v>
      </c>
      <c r="B402" t="s">
        <v>263</v>
      </c>
      <c r="C402" t="s">
        <v>17</v>
      </c>
      <c r="D402">
        <v>60000</v>
      </c>
      <c r="E402" t="s">
        <v>38</v>
      </c>
      <c r="F402" t="s">
        <v>20</v>
      </c>
      <c r="O402">
        <f t="shared" si="11"/>
        <v>0</v>
      </c>
    </row>
    <row r="403" spans="1:15" x14ac:dyDescent="0.25">
      <c r="A403">
        <v>402</v>
      </c>
      <c r="B403" t="s">
        <v>145</v>
      </c>
      <c r="C403" t="s">
        <v>19</v>
      </c>
      <c r="D403">
        <v>57900</v>
      </c>
      <c r="E403" t="s">
        <v>23</v>
      </c>
      <c r="F403" t="s">
        <v>20</v>
      </c>
      <c r="O403">
        <f t="shared" si="11"/>
        <v>0</v>
      </c>
    </row>
    <row r="404" spans="1:15" x14ac:dyDescent="0.25">
      <c r="A404">
        <v>403</v>
      </c>
      <c r="B404" t="s">
        <v>62</v>
      </c>
      <c r="C404" t="s">
        <v>22</v>
      </c>
      <c r="D404">
        <v>91800</v>
      </c>
      <c r="E404" t="s">
        <v>8</v>
      </c>
      <c r="F404" t="s">
        <v>9</v>
      </c>
      <c r="O404">
        <f t="shared" si="11"/>
        <v>0</v>
      </c>
    </row>
    <row r="405" spans="1:15" x14ac:dyDescent="0.25">
      <c r="A405">
        <v>404</v>
      </c>
      <c r="B405" t="s">
        <v>117</v>
      </c>
      <c r="C405" t="s">
        <v>25</v>
      </c>
      <c r="D405">
        <v>24500</v>
      </c>
      <c r="E405" t="s">
        <v>8</v>
      </c>
      <c r="F405" t="s">
        <v>9</v>
      </c>
      <c r="O405">
        <f t="shared" si="11"/>
        <v>0</v>
      </c>
    </row>
    <row r="406" spans="1:15" x14ac:dyDescent="0.25">
      <c r="A406">
        <v>405</v>
      </c>
      <c r="B406" t="s">
        <v>91</v>
      </c>
      <c r="C406" t="s">
        <v>27</v>
      </c>
      <c r="D406">
        <v>54200</v>
      </c>
      <c r="E406" t="s">
        <v>8</v>
      </c>
      <c r="F406" t="s">
        <v>9</v>
      </c>
      <c r="O406">
        <f t="shared" si="11"/>
        <v>0</v>
      </c>
    </row>
    <row r="407" spans="1:15" x14ac:dyDescent="0.25">
      <c r="A407">
        <v>406</v>
      </c>
      <c r="B407" t="s">
        <v>264</v>
      </c>
      <c r="C407" t="s">
        <v>29</v>
      </c>
      <c r="D407">
        <v>66000</v>
      </c>
      <c r="E407" t="s">
        <v>8</v>
      </c>
      <c r="F407" t="s">
        <v>9</v>
      </c>
      <c r="O407">
        <f t="shared" si="11"/>
        <v>0</v>
      </c>
    </row>
    <row r="408" spans="1:15" x14ac:dyDescent="0.25">
      <c r="A408">
        <v>407</v>
      </c>
      <c r="B408" t="s">
        <v>192</v>
      </c>
      <c r="C408" t="s">
        <v>31</v>
      </c>
      <c r="D408">
        <v>56200</v>
      </c>
      <c r="E408" t="s">
        <v>8</v>
      </c>
      <c r="F408" t="s">
        <v>20</v>
      </c>
      <c r="O408">
        <f t="shared" si="11"/>
        <v>0</v>
      </c>
    </row>
    <row r="409" spans="1:15" x14ac:dyDescent="0.25">
      <c r="A409">
        <v>408</v>
      </c>
      <c r="B409" t="s">
        <v>46</v>
      </c>
      <c r="C409" t="s">
        <v>33</v>
      </c>
      <c r="D409">
        <v>40700</v>
      </c>
      <c r="E409" t="s">
        <v>23</v>
      </c>
      <c r="F409" t="s">
        <v>9</v>
      </c>
      <c r="O409">
        <f t="shared" si="11"/>
        <v>0</v>
      </c>
    </row>
    <row r="410" spans="1:15" x14ac:dyDescent="0.25">
      <c r="A410">
        <v>409</v>
      </c>
      <c r="B410" t="s">
        <v>232</v>
      </c>
      <c r="C410" t="s">
        <v>7</v>
      </c>
      <c r="D410">
        <v>116200</v>
      </c>
      <c r="E410" t="s">
        <v>8</v>
      </c>
      <c r="F410" t="s">
        <v>9</v>
      </c>
      <c r="O410">
        <f t="shared" si="11"/>
        <v>0</v>
      </c>
    </row>
    <row r="411" spans="1:15" x14ac:dyDescent="0.25">
      <c r="A411">
        <v>410</v>
      </c>
      <c r="B411" t="s">
        <v>115</v>
      </c>
      <c r="C411" t="s">
        <v>11</v>
      </c>
      <c r="D411">
        <v>58600</v>
      </c>
      <c r="E411" t="s">
        <v>38</v>
      </c>
      <c r="F411" t="s">
        <v>20</v>
      </c>
      <c r="O411">
        <f t="shared" si="11"/>
        <v>0</v>
      </c>
    </row>
    <row r="412" spans="1:15" x14ac:dyDescent="0.25">
      <c r="A412">
        <v>411</v>
      </c>
      <c r="B412" t="s">
        <v>265</v>
      </c>
      <c r="C412" t="s">
        <v>13</v>
      </c>
      <c r="D412">
        <v>35000</v>
      </c>
      <c r="E412" t="s">
        <v>8</v>
      </c>
      <c r="F412" t="s">
        <v>9</v>
      </c>
      <c r="O412">
        <f t="shared" si="11"/>
        <v>0</v>
      </c>
    </row>
    <row r="413" spans="1:15" x14ac:dyDescent="0.25">
      <c r="A413">
        <v>412</v>
      </c>
      <c r="B413" t="s">
        <v>48</v>
      </c>
      <c r="C413" t="s">
        <v>15</v>
      </c>
      <c r="D413">
        <v>33100</v>
      </c>
      <c r="E413" t="s">
        <v>23</v>
      </c>
      <c r="F413" t="s">
        <v>20</v>
      </c>
      <c r="O413">
        <f t="shared" si="11"/>
        <v>0</v>
      </c>
    </row>
    <row r="414" spans="1:15" x14ac:dyDescent="0.25">
      <c r="A414">
        <v>413</v>
      </c>
      <c r="B414" t="s">
        <v>192</v>
      </c>
      <c r="C414" t="s">
        <v>17</v>
      </c>
      <c r="D414">
        <v>16900</v>
      </c>
      <c r="E414" t="s">
        <v>38</v>
      </c>
      <c r="F414" t="s">
        <v>9</v>
      </c>
      <c r="O414">
        <f t="shared" si="11"/>
        <v>0</v>
      </c>
    </row>
    <row r="415" spans="1:15" x14ac:dyDescent="0.25">
      <c r="A415">
        <v>414</v>
      </c>
      <c r="B415" t="s">
        <v>103</v>
      </c>
      <c r="C415" t="s">
        <v>19</v>
      </c>
      <c r="D415">
        <v>53400</v>
      </c>
      <c r="E415" t="s">
        <v>38</v>
      </c>
      <c r="F415" t="s">
        <v>20</v>
      </c>
      <c r="O415">
        <f t="shared" si="11"/>
        <v>0</v>
      </c>
    </row>
    <row r="416" spans="1:15" x14ac:dyDescent="0.25">
      <c r="A416">
        <v>415</v>
      </c>
      <c r="B416" t="s">
        <v>65</v>
      </c>
      <c r="C416" t="s">
        <v>22</v>
      </c>
      <c r="D416">
        <v>85900</v>
      </c>
      <c r="E416" t="s">
        <v>8</v>
      </c>
      <c r="F416" t="s">
        <v>9</v>
      </c>
      <c r="O416">
        <f t="shared" si="11"/>
        <v>0</v>
      </c>
    </row>
    <row r="417" spans="1:15" x14ac:dyDescent="0.25">
      <c r="A417">
        <v>416</v>
      </c>
      <c r="B417" t="s">
        <v>139</v>
      </c>
      <c r="C417" t="s">
        <v>25</v>
      </c>
      <c r="D417">
        <v>35100</v>
      </c>
      <c r="E417" t="s">
        <v>23</v>
      </c>
      <c r="F417" t="s">
        <v>9</v>
      </c>
      <c r="O417">
        <f t="shared" si="11"/>
        <v>0</v>
      </c>
    </row>
    <row r="418" spans="1:15" x14ac:dyDescent="0.25">
      <c r="A418">
        <v>417</v>
      </c>
      <c r="B418" t="s">
        <v>239</v>
      </c>
      <c r="C418" t="s">
        <v>27</v>
      </c>
      <c r="D418">
        <v>22900</v>
      </c>
      <c r="E418" t="s">
        <v>8</v>
      </c>
      <c r="F418" t="s">
        <v>20</v>
      </c>
      <c r="O418">
        <f t="shared" si="11"/>
        <v>0</v>
      </c>
    </row>
    <row r="419" spans="1:15" x14ac:dyDescent="0.25">
      <c r="A419">
        <v>418</v>
      </c>
      <c r="B419" t="s">
        <v>24</v>
      </c>
      <c r="C419" t="s">
        <v>29</v>
      </c>
      <c r="D419">
        <v>73200</v>
      </c>
      <c r="E419" t="s">
        <v>38</v>
      </c>
      <c r="F419" t="s">
        <v>20</v>
      </c>
      <c r="O419">
        <f t="shared" si="11"/>
        <v>0</v>
      </c>
    </row>
    <row r="420" spans="1:15" x14ac:dyDescent="0.25">
      <c r="A420">
        <v>419</v>
      </c>
      <c r="B420" t="s">
        <v>266</v>
      </c>
      <c r="C420" t="s">
        <v>31</v>
      </c>
      <c r="D420">
        <v>6200</v>
      </c>
      <c r="E420" t="s">
        <v>8</v>
      </c>
      <c r="F420" t="s">
        <v>9</v>
      </c>
      <c r="O420">
        <f t="shared" si="11"/>
        <v>0</v>
      </c>
    </row>
    <row r="421" spans="1:15" x14ac:dyDescent="0.25">
      <c r="A421">
        <v>420</v>
      </c>
      <c r="B421" t="s">
        <v>267</v>
      </c>
      <c r="C421" t="s">
        <v>33</v>
      </c>
      <c r="D421">
        <v>72000</v>
      </c>
      <c r="E421" t="s">
        <v>8</v>
      </c>
      <c r="F421" t="s">
        <v>9</v>
      </c>
      <c r="O421">
        <f t="shared" si="11"/>
        <v>0</v>
      </c>
    </row>
    <row r="422" spans="1:15" x14ac:dyDescent="0.25">
      <c r="A422">
        <v>421</v>
      </c>
      <c r="B422" t="s">
        <v>218</v>
      </c>
      <c r="C422" t="s">
        <v>7</v>
      </c>
      <c r="D422">
        <v>43700</v>
      </c>
      <c r="E422" t="s">
        <v>23</v>
      </c>
      <c r="F422" t="s">
        <v>9</v>
      </c>
      <c r="O422">
        <f t="shared" si="11"/>
        <v>0</v>
      </c>
    </row>
    <row r="423" spans="1:15" x14ac:dyDescent="0.25">
      <c r="A423">
        <v>422</v>
      </c>
      <c r="B423" t="s">
        <v>218</v>
      </c>
      <c r="C423" t="s">
        <v>11</v>
      </c>
      <c r="D423">
        <v>58100</v>
      </c>
      <c r="E423" t="s">
        <v>8</v>
      </c>
      <c r="F423" t="s">
        <v>9</v>
      </c>
      <c r="O423">
        <f t="shared" si="11"/>
        <v>0</v>
      </c>
    </row>
    <row r="424" spans="1:15" x14ac:dyDescent="0.25">
      <c r="A424">
        <v>423</v>
      </c>
      <c r="B424" t="s">
        <v>268</v>
      </c>
      <c r="C424" t="s">
        <v>13</v>
      </c>
      <c r="D424">
        <v>5000</v>
      </c>
      <c r="E424" t="s">
        <v>23</v>
      </c>
      <c r="F424" t="s">
        <v>9</v>
      </c>
      <c r="O424">
        <f t="shared" si="11"/>
        <v>0</v>
      </c>
    </row>
    <row r="425" spans="1:15" x14ac:dyDescent="0.25">
      <c r="A425">
        <v>424</v>
      </c>
      <c r="B425" t="s">
        <v>269</v>
      </c>
      <c r="C425" t="s">
        <v>15</v>
      </c>
      <c r="D425">
        <v>35200</v>
      </c>
      <c r="E425" t="s">
        <v>8</v>
      </c>
      <c r="F425" t="s">
        <v>20</v>
      </c>
      <c r="O425">
        <f t="shared" si="11"/>
        <v>0</v>
      </c>
    </row>
    <row r="426" spans="1:15" x14ac:dyDescent="0.25">
      <c r="A426">
        <v>425</v>
      </c>
      <c r="B426" t="s">
        <v>270</v>
      </c>
      <c r="C426" t="s">
        <v>17</v>
      </c>
      <c r="D426">
        <v>230900</v>
      </c>
      <c r="E426" t="s">
        <v>8</v>
      </c>
      <c r="F426" t="s">
        <v>9</v>
      </c>
      <c r="O426">
        <f t="shared" si="11"/>
        <v>0</v>
      </c>
    </row>
    <row r="427" spans="1:15" x14ac:dyDescent="0.25">
      <c r="A427">
        <v>426</v>
      </c>
      <c r="B427" t="s">
        <v>58</v>
      </c>
      <c r="O427">
        <f t="shared" si="11"/>
        <v>0</v>
      </c>
    </row>
    <row r="428" spans="1:15" x14ac:dyDescent="0.25">
      <c r="A428">
        <v>427</v>
      </c>
      <c r="B428" t="s">
        <v>61</v>
      </c>
      <c r="C428" t="s">
        <v>22</v>
      </c>
      <c r="D428">
        <v>6900</v>
      </c>
      <c r="E428" t="s">
        <v>8</v>
      </c>
      <c r="F428" t="s">
        <v>9</v>
      </c>
      <c r="O428">
        <f t="shared" si="11"/>
        <v>0</v>
      </c>
    </row>
    <row r="429" spans="1:15" x14ac:dyDescent="0.25">
      <c r="A429">
        <v>428</v>
      </c>
      <c r="B429" t="s">
        <v>176</v>
      </c>
      <c r="C429" t="s">
        <v>25</v>
      </c>
      <c r="D429">
        <v>30100</v>
      </c>
      <c r="E429" t="s">
        <v>23</v>
      </c>
      <c r="F429" t="s">
        <v>9</v>
      </c>
      <c r="O429">
        <f t="shared" si="11"/>
        <v>0</v>
      </c>
    </row>
    <row r="430" spans="1:15" x14ac:dyDescent="0.25">
      <c r="A430">
        <v>429</v>
      </c>
      <c r="B430" t="s">
        <v>256</v>
      </c>
      <c r="C430" t="s">
        <v>27</v>
      </c>
      <c r="D430">
        <v>94500</v>
      </c>
      <c r="E430" t="s">
        <v>8</v>
      </c>
      <c r="F430" t="s">
        <v>9</v>
      </c>
      <c r="O430">
        <f t="shared" si="11"/>
        <v>0</v>
      </c>
    </row>
    <row r="431" spans="1:15" x14ac:dyDescent="0.25">
      <c r="A431">
        <v>430</v>
      </c>
      <c r="B431" t="s">
        <v>53</v>
      </c>
      <c r="C431" t="s">
        <v>29</v>
      </c>
      <c r="D431">
        <v>43200</v>
      </c>
      <c r="E431" t="s">
        <v>38</v>
      </c>
      <c r="F431" t="s">
        <v>20</v>
      </c>
      <c r="O431">
        <f t="shared" si="11"/>
        <v>0</v>
      </c>
    </row>
    <row r="432" spans="1:15" x14ac:dyDescent="0.25">
      <c r="A432">
        <v>431</v>
      </c>
      <c r="B432" t="s">
        <v>124</v>
      </c>
      <c r="C432" t="s">
        <v>31</v>
      </c>
      <c r="D432">
        <v>32200</v>
      </c>
      <c r="E432" t="s">
        <v>8</v>
      </c>
      <c r="F432" t="s">
        <v>20</v>
      </c>
      <c r="O432">
        <f t="shared" si="11"/>
        <v>0</v>
      </c>
    </row>
    <row r="433" spans="1:15" x14ac:dyDescent="0.25">
      <c r="A433">
        <v>432</v>
      </c>
      <c r="B433" t="s">
        <v>26</v>
      </c>
      <c r="C433" t="s">
        <v>33</v>
      </c>
      <c r="D433">
        <v>10500</v>
      </c>
      <c r="E433" t="s">
        <v>23</v>
      </c>
      <c r="F433" t="s">
        <v>20</v>
      </c>
      <c r="O433">
        <f t="shared" si="11"/>
        <v>0</v>
      </c>
    </row>
    <row r="434" spans="1:15" x14ac:dyDescent="0.25">
      <c r="A434">
        <v>433</v>
      </c>
      <c r="B434" t="s">
        <v>150</v>
      </c>
      <c r="C434" t="s">
        <v>7</v>
      </c>
      <c r="D434">
        <v>118700</v>
      </c>
      <c r="E434" t="s">
        <v>8</v>
      </c>
      <c r="F434" t="s">
        <v>9</v>
      </c>
      <c r="O434">
        <f t="shared" si="11"/>
        <v>0</v>
      </c>
    </row>
    <row r="435" spans="1:15" x14ac:dyDescent="0.25">
      <c r="A435">
        <v>434</v>
      </c>
      <c r="B435" t="s">
        <v>271</v>
      </c>
      <c r="C435" t="s">
        <v>11</v>
      </c>
      <c r="D435">
        <v>9700</v>
      </c>
      <c r="E435" t="s">
        <v>8</v>
      </c>
      <c r="F435" t="s">
        <v>9</v>
      </c>
      <c r="O435">
        <f t="shared" ref="O435:O498" si="12">N435*N435</f>
        <v>0</v>
      </c>
    </row>
    <row r="436" spans="1:15" x14ac:dyDescent="0.25">
      <c r="A436">
        <v>435</v>
      </c>
      <c r="B436" t="s">
        <v>98</v>
      </c>
      <c r="O436">
        <f t="shared" si="12"/>
        <v>0</v>
      </c>
    </row>
    <row r="437" spans="1:15" x14ac:dyDescent="0.25">
      <c r="A437">
        <v>436</v>
      </c>
      <c r="B437" t="s">
        <v>144</v>
      </c>
      <c r="C437" t="s">
        <v>15</v>
      </c>
      <c r="D437">
        <v>71700</v>
      </c>
      <c r="E437" t="s">
        <v>8</v>
      </c>
      <c r="F437" t="s">
        <v>9</v>
      </c>
      <c r="O437">
        <f t="shared" si="12"/>
        <v>0</v>
      </c>
    </row>
    <row r="438" spans="1:15" x14ac:dyDescent="0.25">
      <c r="A438">
        <v>437</v>
      </c>
      <c r="B438" t="s">
        <v>168</v>
      </c>
      <c r="C438" t="s">
        <v>17</v>
      </c>
      <c r="D438">
        <v>14500</v>
      </c>
      <c r="E438" t="s">
        <v>8</v>
      </c>
      <c r="F438" t="s">
        <v>9</v>
      </c>
      <c r="O438">
        <f t="shared" si="12"/>
        <v>0</v>
      </c>
    </row>
    <row r="439" spans="1:15" x14ac:dyDescent="0.25">
      <c r="A439">
        <v>438</v>
      </c>
      <c r="B439" t="s">
        <v>70</v>
      </c>
      <c r="C439" t="s">
        <v>19</v>
      </c>
      <c r="D439">
        <v>16500</v>
      </c>
      <c r="E439" t="s">
        <v>38</v>
      </c>
      <c r="F439" t="s">
        <v>20</v>
      </c>
      <c r="O439">
        <f t="shared" si="12"/>
        <v>0</v>
      </c>
    </row>
    <row r="440" spans="1:15" x14ac:dyDescent="0.25">
      <c r="A440">
        <v>439</v>
      </c>
      <c r="B440" t="s">
        <v>50</v>
      </c>
      <c r="C440" t="s">
        <v>22</v>
      </c>
      <c r="D440">
        <v>83500</v>
      </c>
      <c r="E440" t="s">
        <v>8</v>
      </c>
      <c r="F440" t="s">
        <v>9</v>
      </c>
      <c r="O440">
        <f t="shared" si="12"/>
        <v>0</v>
      </c>
    </row>
    <row r="441" spans="1:15" x14ac:dyDescent="0.25">
      <c r="A441">
        <v>440</v>
      </c>
      <c r="B441" t="s">
        <v>214</v>
      </c>
      <c r="C441" t="s">
        <v>25</v>
      </c>
      <c r="D441">
        <v>52700</v>
      </c>
      <c r="E441" t="s">
        <v>8</v>
      </c>
      <c r="F441" t="s">
        <v>9</v>
      </c>
      <c r="O441">
        <f t="shared" si="12"/>
        <v>0</v>
      </c>
    </row>
    <row r="442" spans="1:15" x14ac:dyDescent="0.25">
      <c r="A442">
        <v>441</v>
      </c>
      <c r="B442" t="s">
        <v>272</v>
      </c>
      <c r="C442" t="s">
        <v>27</v>
      </c>
      <c r="D442">
        <v>77100</v>
      </c>
      <c r="E442" t="s">
        <v>8</v>
      </c>
      <c r="F442" t="s">
        <v>9</v>
      </c>
      <c r="O442">
        <f t="shared" si="12"/>
        <v>0</v>
      </c>
    </row>
    <row r="443" spans="1:15" x14ac:dyDescent="0.25">
      <c r="A443">
        <v>442</v>
      </c>
      <c r="B443" t="s">
        <v>177</v>
      </c>
      <c r="C443" t="s">
        <v>29</v>
      </c>
      <c r="D443">
        <v>13800</v>
      </c>
      <c r="E443" t="s">
        <v>38</v>
      </c>
      <c r="F443" t="s">
        <v>9</v>
      </c>
      <c r="O443">
        <f t="shared" si="12"/>
        <v>0</v>
      </c>
    </row>
    <row r="444" spans="1:15" x14ac:dyDescent="0.25">
      <c r="A444">
        <v>443</v>
      </c>
      <c r="B444" t="s">
        <v>183</v>
      </c>
      <c r="C444" t="s">
        <v>31</v>
      </c>
      <c r="D444">
        <v>8200</v>
      </c>
      <c r="E444" t="s">
        <v>8</v>
      </c>
      <c r="F444" t="s">
        <v>9</v>
      </c>
      <c r="O444">
        <f t="shared" si="12"/>
        <v>0</v>
      </c>
    </row>
    <row r="445" spans="1:15" x14ac:dyDescent="0.25">
      <c r="A445">
        <v>444</v>
      </c>
      <c r="B445" t="s">
        <v>154</v>
      </c>
      <c r="C445" t="s">
        <v>33</v>
      </c>
      <c r="D445">
        <v>31400</v>
      </c>
      <c r="E445" t="s">
        <v>38</v>
      </c>
      <c r="F445" t="s">
        <v>20</v>
      </c>
      <c r="O445">
        <f t="shared" si="12"/>
        <v>0</v>
      </c>
    </row>
    <row r="446" spans="1:15" x14ac:dyDescent="0.25">
      <c r="A446">
        <v>445</v>
      </c>
      <c r="B446" t="s">
        <v>183</v>
      </c>
      <c r="C446" t="s">
        <v>7</v>
      </c>
      <c r="D446">
        <v>40700</v>
      </c>
      <c r="E446" t="s">
        <v>8</v>
      </c>
      <c r="F446" t="s">
        <v>9</v>
      </c>
      <c r="O446">
        <f t="shared" si="12"/>
        <v>0</v>
      </c>
    </row>
    <row r="447" spans="1:15" x14ac:dyDescent="0.25">
      <c r="A447">
        <v>446</v>
      </c>
      <c r="B447" t="s">
        <v>109</v>
      </c>
      <c r="C447" t="s">
        <v>11</v>
      </c>
      <c r="D447">
        <v>33200</v>
      </c>
      <c r="E447" t="s">
        <v>8</v>
      </c>
      <c r="F447" t="s">
        <v>9</v>
      </c>
      <c r="O447">
        <f t="shared" si="12"/>
        <v>0</v>
      </c>
    </row>
    <row r="448" spans="1:15" x14ac:dyDescent="0.25">
      <c r="A448">
        <v>447</v>
      </c>
      <c r="B448" t="s">
        <v>273</v>
      </c>
      <c r="C448" t="s">
        <v>13</v>
      </c>
      <c r="D448">
        <v>23900</v>
      </c>
      <c r="E448" t="s">
        <v>8</v>
      </c>
      <c r="F448" t="s">
        <v>9</v>
      </c>
      <c r="O448">
        <f t="shared" si="12"/>
        <v>0</v>
      </c>
    </row>
    <row r="449" spans="1:15" x14ac:dyDescent="0.25">
      <c r="A449">
        <v>448</v>
      </c>
      <c r="B449" t="s">
        <v>159</v>
      </c>
      <c r="C449" t="s">
        <v>15</v>
      </c>
      <c r="D449">
        <v>10700</v>
      </c>
      <c r="E449" t="s">
        <v>8</v>
      </c>
      <c r="F449" t="s">
        <v>9</v>
      </c>
      <c r="O449">
        <f t="shared" si="12"/>
        <v>0</v>
      </c>
    </row>
    <row r="450" spans="1:15" x14ac:dyDescent="0.25">
      <c r="A450">
        <v>449</v>
      </c>
      <c r="B450" t="s">
        <v>274</v>
      </c>
      <c r="C450" t="s">
        <v>17</v>
      </c>
      <c r="D450">
        <v>63500</v>
      </c>
      <c r="E450" t="s">
        <v>38</v>
      </c>
      <c r="F450" t="s">
        <v>20</v>
      </c>
      <c r="O450">
        <f t="shared" si="12"/>
        <v>0</v>
      </c>
    </row>
    <row r="451" spans="1:15" x14ac:dyDescent="0.25">
      <c r="A451">
        <v>450</v>
      </c>
      <c r="B451" t="s">
        <v>118</v>
      </c>
      <c r="C451" t="s">
        <v>19</v>
      </c>
      <c r="D451">
        <v>13000</v>
      </c>
      <c r="E451" t="s">
        <v>38</v>
      </c>
      <c r="F451" t="s">
        <v>9</v>
      </c>
      <c r="O451">
        <f t="shared" si="12"/>
        <v>0</v>
      </c>
    </row>
    <row r="452" spans="1:15" x14ac:dyDescent="0.25">
      <c r="A452">
        <v>451</v>
      </c>
      <c r="B452" t="s">
        <v>275</v>
      </c>
      <c r="C452" t="s">
        <v>22</v>
      </c>
      <c r="D452">
        <v>40900</v>
      </c>
      <c r="E452" t="s">
        <v>8</v>
      </c>
      <c r="F452" t="s">
        <v>9</v>
      </c>
      <c r="O452">
        <f t="shared" si="12"/>
        <v>0</v>
      </c>
    </row>
    <row r="453" spans="1:15" x14ac:dyDescent="0.25">
      <c r="A453">
        <v>452</v>
      </c>
      <c r="B453" t="s">
        <v>276</v>
      </c>
      <c r="C453" t="s">
        <v>25</v>
      </c>
      <c r="D453">
        <v>149000</v>
      </c>
      <c r="E453" t="s">
        <v>8</v>
      </c>
      <c r="F453" t="s">
        <v>9</v>
      </c>
      <c r="O453">
        <f t="shared" si="12"/>
        <v>0</v>
      </c>
    </row>
    <row r="454" spans="1:15" x14ac:dyDescent="0.25">
      <c r="A454">
        <v>453</v>
      </c>
      <c r="B454" t="s">
        <v>277</v>
      </c>
      <c r="C454" t="s">
        <v>27</v>
      </c>
      <c r="D454">
        <v>31700</v>
      </c>
      <c r="E454" t="s">
        <v>23</v>
      </c>
      <c r="F454" t="s">
        <v>9</v>
      </c>
      <c r="O454">
        <f t="shared" si="12"/>
        <v>0</v>
      </c>
    </row>
    <row r="455" spans="1:15" x14ac:dyDescent="0.25">
      <c r="A455">
        <v>454</v>
      </c>
      <c r="B455" t="s">
        <v>122</v>
      </c>
      <c r="C455" t="s">
        <v>29</v>
      </c>
      <c r="D455">
        <v>6300</v>
      </c>
      <c r="E455" t="s">
        <v>38</v>
      </c>
      <c r="F455" t="s">
        <v>9</v>
      </c>
      <c r="O455">
        <f t="shared" si="12"/>
        <v>0</v>
      </c>
    </row>
    <row r="456" spans="1:15" x14ac:dyDescent="0.25">
      <c r="A456">
        <v>455</v>
      </c>
      <c r="B456" t="s">
        <v>222</v>
      </c>
      <c r="C456" t="s">
        <v>31</v>
      </c>
      <c r="D456">
        <v>224600</v>
      </c>
      <c r="E456" t="s">
        <v>8</v>
      </c>
      <c r="F456" t="s">
        <v>9</v>
      </c>
      <c r="O456">
        <f t="shared" si="12"/>
        <v>0</v>
      </c>
    </row>
    <row r="457" spans="1:15" x14ac:dyDescent="0.25">
      <c r="A457">
        <v>456</v>
      </c>
      <c r="B457" t="s">
        <v>116</v>
      </c>
      <c r="C457" t="s">
        <v>33</v>
      </c>
      <c r="D457">
        <v>12000</v>
      </c>
      <c r="E457" t="s">
        <v>23</v>
      </c>
      <c r="F457" t="s">
        <v>9</v>
      </c>
      <c r="O457">
        <f t="shared" si="12"/>
        <v>0</v>
      </c>
    </row>
    <row r="458" spans="1:15" x14ac:dyDescent="0.25">
      <c r="A458">
        <v>457</v>
      </c>
      <c r="B458" t="s">
        <v>204</v>
      </c>
      <c r="C458" t="s">
        <v>7</v>
      </c>
      <c r="D458">
        <v>18000</v>
      </c>
      <c r="E458" t="s">
        <v>8</v>
      </c>
      <c r="F458" t="s">
        <v>9</v>
      </c>
      <c r="O458">
        <f t="shared" si="12"/>
        <v>0</v>
      </c>
    </row>
    <row r="459" spans="1:15" x14ac:dyDescent="0.25">
      <c r="A459">
        <v>458</v>
      </c>
      <c r="B459" t="s">
        <v>133</v>
      </c>
      <c r="C459" t="s">
        <v>11</v>
      </c>
      <c r="D459">
        <v>49400</v>
      </c>
      <c r="E459" t="s">
        <v>8</v>
      </c>
      <c r="F459" t="s">
        <v>9</v>
      </c>
      <c r="O459">
        <f t="shared" si="12"/>
        <v>0</v>
      </c>
    </row>
    <row r="460" spans="1:15" x14ac:dyDescent="0.25">
      <c r="A460">
        <v>459</v>
      </c>
      <c r="B460" t="s">
        <v>178</v>
      </c>
      <c r="C460" t="s">
        <v>13</v>
      </c>
      <c r="D460">
        <v>141700</v>
      </c>
      <c r="E460" t="s">
        <v>8</v>
      </c>
      <c r="F460" t="s">
        <v>9</v>
      </c>
      <c r="O460">
        <f t="shared" si="12"/>
        <v>0</v>
      </c>
    </row>
    <row r="461" spans="1:15" x14ac:dyDescent="0.25">
      <c r="A461">
        <v>460</v>
      </c>
      <c r="B461" t="s">
        <v>278</v>
      </c>
      <c r="C461" t="s">
        <v>15</v>
      </c>
      <c r="D461">
        <v>55300</v>
      </c>
      <c r="E461" t="s">
        <v>8</v>
      </c>
      <c r="F461" t="s">
        <v>9</v>
      </c>
      <c r="O461">
        <f t="shared" si="12"/>
        <v>0</v>
      </c>
    </row>
    <row r="462" spans="1:15" x14ac:dyDescent="0.25">
      <c r="A462">
        <v>461</v>
      </c>
      <c r="B462" t="s">
        <v>279</v>
      </c>
      <c r="C462" t="s">
        <v>17</v>
      </c>
      <c r="D462">
        <v>22800</v>
      </c>
      <c r="E462" t="s">
        <v>8</v>
      </c>
      <c r="F462" t="s">
        <v>9</v>
      </c>
      <c r="O462">
        <f t="shared" si="12"/>
        <v>0</v>
      </c>
    </row>
    <row r="463" spans="1:15" x14ac:dyDescent="0.25">
      <c r="A463">
        <v>462</v>
      </c>
      <c r="B463" t="s">
        <v>280</v>
      </c>
      <c r="C463" t="s">
        <v>19</v>
      </c>
      <c r="D463">
        <v>16400</v>
      </c>
      <c r="E463" t="s">
        <v>8</v>
      </c>
      <c r="F463" t="s">
        <v>9</v>
      </c>
      <c r="O463">
        <f t="shared" si="12"/>
        <v>0</v>
      </c>
    </row>
    <row r="464" spans="1:15" x14ac:dyDescent="0.25">
      <c r="A464">
        <v>463</v>
      </c>
      <c r="B464" t="s">
        <v>281</v>
      </c>
      <c r="C464" t="s">
        <v>22</v>
      </c>
      <c r="D464">
        <v>8300</v>
      </c>
      <c r="E464" t="s">
        <v>8</v>
      </c>
      <c r="F464" t="s">
        <v>9</v>
      </c>
      <c r="O464">
        <f t="shared" si="12"/>
        <v>0</v>
      </c>
    </row>
    <row r="465" spans="1:15" x14ac:dyDescent="0.25">
      <c r="A465">
        <v>464</v>
      </c>
      <c r="B465" t="s">
        <v>248</v>
      </c>
      <c r="C465" t="s">
        <v>25</v>
      </c>
      <c r="D465">
        <v>40200</v>
      </c>
      <c r="E465" t="s">
        <v>8</v>
      </c>
      <c r="F465" t="s">
        <v>20</v>
      </c>
      <c r="O465">
        <f t="shared" si="12"/>
        <v>0</v>
      </c>
    </row>
    <row r="466" spans="1:15" x14ac:dyDescent="0.25">
      <c r="A466">
        <v>465</v>
      </c>
      <c r="B466" t="s">
        <v>282</v>
      </c>
      <c r="C466" t="s">
        <v>27</v>
      </c>
      <c r="D466">
        <v>56000</v>
      </c>
      <c r="E466" t="s">
        <v>8</v>
      </c>
      <c r="F466" t="s">
        <v>9</v>
      </c>
      <c r="O466">
        <f t="shared" si="12"/>
        <v>0</v>
      </c>
    </row>
    <row r="467" spans="1:15" x14ac:dyDescent="0.25">
      <c r="A467">
        <v>466</v>
      </c>
      <c r="B467" t="s">
        <v>283</v>
      </c>
      <c r="C467" t="s">
        <v>29</v>
      </c>
      <c r="D467">
        <v>256900</v>
      </c>
      <c r="E467" t="s">
        <v>8</v>
      </c>
      <c r="F467" t="s">
        <v>20</v>
      </c>
      <c r="O467">
        <f t="shared" si="12"/>
        <v>0</v>
      </c>
    </row>
    <row r="468" spans="1:15" x14ac:dyDescent="0.25">
      <c r="A468">
        <v>467</v>
      </c>
      <c r="B468" t="s">
        <v>284</v>
      </c>
      <c r="C468" t="s">
        <v>31</v>
      </c>
      <c r="D468">
        <v>48100</v>
      </c>
      <c r="E468" t="s">
        <v>8</v>
      </c>
      <c r="F468" t="s">
        <v>20</v>
      </c>
      <c r="O468">
        <f t="shared" si="12"/>
        <v>0</v>
      </c>
    </row>
    <row r="469" spans="1:15" x14ac:dyDescent="0.25">
      <c r="A469">
        <v>468</v>
      </c>
      <c r="B469" t="s">
        <v>43</v>
      </c>
      <c r="C469" t="s">
        <v>33</v>
      </c>
      <c r="D469">
        <v>158600</v>
      </c>
      <c r="E469" t="s">
        <v>8</v>
      </c>
      <c r="F469" t="s">
        <v>9</v>
      </c>
      <c r="O469">
        <f t="shared" si="12"/>
        <v>0</v>
      </c>
    </row>
    <row r="470" spans="1:15" x14ac:dyDescent="0.25">
      <c r="A470">
        <v>469</v>
      </c>
      <c r="B470" t="s">
        <v>285</v>
      </c>
      <c r="C470" t="s">
        <v>7</v>
      </c>
      <c r="D470">
        <v>11400</v>
      </c>
      <c r="E470" t="s">
        <v>8</v>
      </c>
      <c r="F470" t="s">
        <v>9</v>
      </c>
      <c r="O470">
        <f t="shared" si="12"/>
        <v>0</v>
      </c>
    </row>
    <row r="471" spans="1:15" x14ac:dyDescent="0.25">
      <c r="A471">
        <v>470</v>
      </c>
      <c r="B471" t="s">
        <v>264</v>
      </c>
      <c r="C471" t="s">
        <v>11</v>
      </c>
      <c r="D471">
        <v>75700</v>
      </c>
      <c r="E471" t="s">
        <v>38</v>
      </c>
      <c r="F471" t="s">
        <v>20</v>
      </c>
      <c r="O471">
        <f t="shared" si="12"/>
        <v>0</v>
      </c>
    </row>
    <row r="472" spans="1:15" x14ac:dyDescent="0.25">
      <c r="A472">
        <v>471</v>
      </c>
      <c r="B472" t="s">
        <v>286</v>
      </c>
      <c r="C472" t="s">
        <v>13</v>
      </c>
      <c r="D472">
        <v>75400</v>
      </c>
      <c r="E472" t="s">
        <v>8</v>
      </c>
      <c r="F472" t="s">
        <v>9</v>
      </c>
      <c r="O472">
        <f t="shared" si="12"/>
        <v>0</v>
      </c>
    </row>
    <row r="473" spans="1:15" x14ac:dyDescent="0.25">
      <c r="A473">
        <v>472</v>
      </c>
      <c r="B473" t="s">
        <v>167</v>
      </c>
      <c r="C473" t="s">
        <v>15</v>
      </c>
      <c r="D473">
        <v>28900</v>
      </c>
      <c r="E473" t="s">
        <v>8</v>
      </c>
      <c r="F473" t="s">
        <v>20</v>
      </c>
      <c r="O473">
        <f t="shared" si="12"/>
        <v>0</v>
      </c>
    </row>
    <row r="474" spans="1:15" x14ac:dyDescent="0.25">
      <c r="A474">
        <v>473</v>
      </c>
      <c r="B474" t="s">
        <v>207</v>
      </c>
      <c r="C474" t="s">
        <v>17</v>
      </c>
      <c r="D474">
        <v>40700</v>
      </c>
      <c r="E474" t="s">
        <v>23</v>
      </c>
      <c r="F474" t="s">
        <v>9</v>
      </c>
      <c r="O474">
        <f t="shared" si="12"/>
        <v>0</v>
      </c>
    </row>
    <row r="475" spans="1:15" x14ac:dyDescent="0.25">
      <c r="A475">
        <v>474</v>
      </c>
      <c r="B475" t="s">
        <v>73</v>
      </c>
      <c r="C475" t="s">
        <v>19</v>
      </c>
      <c r="D475">
        <v>74000</v>
      </c>
      <c r="E475" t="s">
        <v>8</v>
      </c>
      <c r="F475" t="s">
        <v>9</v>
      </c>
      <c r="O475">
        <f t="shared" si="12"/>
        <v>0</v>
      </c>
    </row>
    <row r="476" spans="1:15" x14ac:dyDescent="0.25">
      <c r="A476">
        <v>475</v>
      </c>
      <c r="B476" t="s">
        <v>247</v>
      </c>
      <c r="C476" t="s">
        <v>22</v>
      </c>
      <c r="D476">
        <v>152000</v>
      </c>
      <c r="E476" t="s">
        <v>38</v>
      </c>
      <c r="F476" t="s">
        <v>9</v>
      </c>
      <c r="O476">
        <f t="shared" si="12"/>
        <v>0</v>
      </c>
    </row>
    <row r="477" spans="1:15" x14ac:dyDescent="0.25">
      <c r="A477">
        <v>476</v>
      </c>
      <c r="B477" t="s">
        <v>147</v>
      </c>
      <c r="C477" t="s">
        <v>25</v>
      </c>
      <c r="D477">
        <v>47000</v>
      </c>
      <c r="E477" t="s">
        <v>8</v>
      </c>
      <c r="F477" t="s">
        <v>9</v>
      </c>
      <c r="O477">
        <f t="shared" si="12"/>
        <v>0</v>
      </c>
    </row>
    <row r="478" spans="1:15" x14ac:dyDescent="0.25">
      <c r="A478">
        <v>477</v>
      </c>
      <c r="B478" t="s">
        <v>223</v>
      </c>
      <c r="C478" t="s">
        <v>27</v>
      </c>
      <c r="D478">
        <v>70300</v>
      </c>
      <c r="E478" t="s">
        <v>23</v>
      </c>
      <c r="F478" t="s">
        <v>9</v>
      </c>
      <c r="O478">
        <f t="shared" si="12"/>
        <v>0</v>
      </c>
    </row>
    <row r="479" spans="1:15" x14ac:dyDescent="0.25">
      <c r="A479">
        <v>478</v>
      </c>
      <c r="B479" t="s">
        <v>254</v>
      </c>
      <c r="O479">
        <f t="shared" si="12"/>
        <v>0</v>
      </c>
    </row>
    <row r="480" spans="1:15" x14ac:dyDescent="0.25">
      <c r="A480">
        <v>479</v>
      </c>
      <c r="B480" t="s">
        <v>138</v>
      </c>
      <c r="C480" t="s">
        <v>31</v>
      </c>
      <c r="D480">
        <v>85400</v>
      </c>
      <c r="E480" t="s">
        <v>8</v>
      </c>
      <c r="F480" t="s">
        <v>20</v>
      </c>
      <c r="O480">
        <f t="shared" si="12"/>
        <v>0</v>
      </c>
    </row>
    <row r="481" spans="1:15" x14ac:dyDescent="0.25">
      <c r="A481">
        <v>480</v>
      </c>
      <c r="B481" t="s">
        <v>92</v>
      </c>
      <c r="C481" t="s">
        <v>33</v>
      </c>
      <c r="D481">
        <v>15800</v>
      </c>
      <c r="E481" t="s">
        <v>8</v>
      </c>
      <c r="F481" t="s">
        <v>9</v>
      </c>
      <c r="O481">
        <f t="shared" si="12"/>
        <v>0</v>
      </c>
    </row>
    <row r="482" spans="1:15" x14ac:dyDescent="0.25">
      <c r="A482">
        <v>481</v>
      </c>
      <c r="B482" t="s">
        <v>287</v>
      </c>
      <c r="C482" t="s">
        <v>7</v>
      </c>
      <c r="D482">
        <v>5000</v>
      </c>
      <c r="E482" t="s">
        <v>8</v>
      </c>
      <c r="F482" t="s">
        <v>9</v>
      </c>
      <c r="O482">
        <f t="shared" si="12"/>
        <v>0</v>
      </c>
    </row>
    <row r="483" spans="1:15" x14ac:dyDescent="0.25">
      <c r="A483">
        <v>482</v>
      </c>
      <c r="B483" t="s">
        <v>144</v>
      </c>
      <c r="C483" t="s">
        <v>11</v>
      </c>
      <c r="D483">
        <v>21200</v>
      </c>
      <c r="E483" t="s">
        <v>8</v>
      </c>
      <c r="F483" t="s">
        <v>20</v>
      </c>
      <c r="O483">
        <f t="shared" si="12"/>
        <v>0</v>
      </c>
    </row>
    <row r="484" spans="1:15" x14ac:dyDescent="0.25">
      <c r="A484">
        <v>483</v>
      </c>
      <c r="B484" t="s">
        <v>124</v>
      </c>
      <c r="C484" t="s">
        <v>13</v>
      </c>
      <c r="D484">
        <v>69400</v>
      </c>
      <c r="E484" t="s">
        <v>8</v>
      </c>
      <c r="F484" t="s">
        <v>9</v>
      </c>
      <c r="O484">
        <f t="shared" si="12"/>
        <v>0</v>
      </c>
    </row>
    <row r="485" spans="1:15" x14ac:dyDescent="0.25">
      <c r="A485">
        <v>484</v>
      </c>
      <c r="B485" t="s">
        <v>197</v>
      </c>
      <c r="C485" t="s">
        <v>15</v>
      </c>
      <c r="D485">
        <v>5000</v>
      </c>
      <c r="E485" t="s">
        <v>38</v>
      </c>
      <c r="F485" t="s">
        <v>20</v>
      </c>
      <c r="O485">
        <f t="shared" si="12"/>
        <v>0</v>
      </c>
    </row>
    <row r="486" spans="1:15" x14ac:dyDescent="0.25">
      <c r="A486">
        <v>485</v>
      </c>
      <c r="B486" t="s">
        <v>40</v>
      </c>
      <c r="C486" t="s">
        <v>17</v>
      </c>
      <c r="D486">
        <v>84600</v>
      </c>
      <c r="E486" t="s">
        <v>8</v>
      </c>
      <c r="F486" t="s">
        <v>9</v>
      </c>
      <c r="O486">
        <f t="shared" si="12"/>
        <v>0</v>
      </c>
    </row>
    <row r="487" spans="1:15" x14ac:dyDescent="0.25">
      <c r="A487">
        <v>486</v>
      </c>
      <c r="B487" t="s">
        <v>288</v>
      </c>
      <c r="C487" t="s">
        <v>19</v>
      </c>
      <c r="D487">
        <v>59200</v>
      </c>
      <c r="E487" t="s">
        <v>8</v>
      </c>
      <c r="F487" t="s">
        <v>9</v>
      </c>
      <c r="O487">
        <f t="shared" si="12"/>
        <v>0</v>
      </c>
    </row>
    <row r="488" spans="1:15" x14ac:dyDescent="0.25">
      <c r="A488">
        <v>487</v>
      </c>
      <c r="B488" t="s">
        <v>218</v>
      </c>
      <c r="C488" t="s">
        <v>22</v>
      </c>
      <c r="D488">
        <v>39400</v>
      </c>
      <c r="E488" t="s">
        <v>8</v>
      </c>
      <c r="F488" t="s">
        <v>9</v>
      </c>
      <c r="O488">
        <f t="shared" si="12"/>
        <v>0</v>
      </c>
    </row>
    <row r="489" spans="1:15" x14ac:dyDescent="0.25">
      <c r="A489">
        <v>488</v>
      </c>
      <c r="B489" t="s">
        <v>67</v>
      </c>
      <c r="C489" t="s">
        <v>25</v>
      </c>
      <c r="D489">
        <v>24900</v>
      </c>
      <c r="E489" t="s">
        <v>23</v>
      </c>
      <c r="F489" t="s">
        <v>9</v>
      </c>
      <c r="O489">
        <f t="shared" si="12"/>
        <v>0</v>
      </c>
    </row>
    <row r="490" spans="1:15" x14ac:dyDescent="0.25">
      <c r="A490">
        <v>489</v>
      </c>
      <c r="B490" t="s">
        <v>83</v>
      </c>
      <c r="C490" t="s">
        <v>27</v>
      </c>
      <c r="D490">
        <v>97200</v>
      </c>
      <c r="E490" t="s">
        <v>23</v>
      </c>
      <c r="F490" t="s">
        <v>9</v>
      </c>
      <c r="O490">
        <f t="shared" si="12"/>
        <v>0</v>
      </c>
    </row>
    <row r="491" spans="1:15" x14ac:dyDescent="0.25">
      <c r="A491">
        <v>490</v>
      </c>
      <c r="B491" t="s">
        <v>104</v>
      </c>
      <c r="C491" t="s">
        <v>29</v>
      </c>
      <c r="D491">
        <v>54100</v>
      </c>
      <c r="E491" t="s">
        <v>23</v>
      </c>
      <c r="F491" t="s">
        <v>9</v>
      </c>
      <c r="O491">
        <f t="shared" si="12"/>
        <v>0</v>
      </c>
    </row>
    <row r="492" spans="1:15" x14ac:dyDescent="0.25">
      <c r="A492">
        <v>491</v>
      </c>
      <c r="B492" t="s">
        <v>194</v>
      </c>
      <c r="C492" t="s">
        <v>31</v>
      </c>
      <c r="D492">
        <v>8600</v>
      </c>
      <c r="E492" t="s">
        <v>8</v>
      </c>
      <c r="F492" t="s">
        <v>9</v>
      </c>
      <c r="O492">
        <f t="shared" si="12"/>
        <v>0</v>
      </c>
    </row>
    <row r="493" spans="1:15" x14ac:dyDescent="0.25">
      <c r="A493">
        <v>492</v>
      </c>
      <c r="B493" t="s">
        <v>289</v>
      </c>
      <c r="C493" t="s">
        <v>33</v>
      </c>
      <c r="D493">
        <v>16200</v>
      </c>
      <c r="E493" t="s">
        <v>23</v>
      </c>
      <c r="F493" t="s">
        <v>20</v>
      </c>
      <c r="O493">
        <f t="shared" si="12"/>
        <v>0</v>
      </c>
    </row>
    <row r="494" spans="1:15" x14ac:dyDescent="0.25">
      <c r="A494">
        <v>493</v>
      </c>
      <c r="B494" t="s">
        <v>84</v>
      </c>
      <c r="C494" t="s">
        <v>7</v>
      </c>
      <c r="D494">
        <v>114400</v>
      </c>
      <c r="E494" t="s">
        <v>8</v>
      </c>
      <c r="F494" t="s">
        <v>9</v>
      </c>
      <c r="O494">
        <f t="shared" si="12"/>
        <v>0</v>
      </c>
    </row>
    <row r="495" spans="1:15" x14ac:dyDescent="0.25">
      <c r="A495">
        <v>494</v>
      </c>
      <c r="B495" t="s">
        <v>290</v>
      </c>
      <c r="C495" t="s">
        <v>11</v>
      </c>
      <c r="D495">
        <v>41500</v>
      </c>
      <c r="E495" t="s">
        <v>8</v>
      </c>
      <c r="F495" t="s">
        <v>9</v>
      </c>
      <c r="O495">
        <f t="shared" si="12"/>
        <v>0</v>
      </c>
    </row>
    <row r="496" spans="1:15" x14ac:dyDescent="0.25">
      <c r="A496">
        <v>495</v>
      </c>
      <c r="B496" t="s">
        <v>291</v>
      </c>
      <c r="C496" t="s">
        <v>13</v>
      </c>
      <c r="D496">
        <v>6900</v>
      </c>
      <c r="E496" t="s">
        <v>8</v>
      </c>
      <c r="F496" t="s">
        <v>9</v>
      </c>
      <c r="O496">
        <f t="shared" si="12"/>
        <v>0</v>
      </c>
    </row>
    <row r="497" spans="1:15" x14ac:dyDescent="0.25">
      <c r="A497">
        <v>496</v>
      </c>
      <c r="B497" t="s">
        <v>292</v>
      </c>
      <c r="C497" t="s">
        <v>15</v>
      </c>
      <c r="D497">
        <v>6800</v>
      </c>
      <c r="E497" t="s">
        <v>8</v>
      </c>
      <c r="F497" t="s">
        <v>9</v>
      </c>
      <c r="O497">
        <f t="shared" si="12"/>
        <v>0</v>
      </c>
    </row>
    <row r="498" spans="1:15" x14ac:dyDescent="0.25">
      <c r="A498">
        <v>497</v>
      </c>
      <c r="B498" t="s">
        <v>206</v>
      </c>
      <c r="C498" t="s">
        <v>17</v>
      </c>
      <c r="D498">
        <v>194600</v>
      </c>
      <c r="E498" t="s">
        <v>8</v>
      </c>
      <c r="F498" t="s">
        <v>9</v>
      </c>
      <c r="O498">
        <f t="shared" si="12"/>
        <v>0</v>
      </c>
    </row>
    <row r="499" spans="1:15" x14ac:dyDescent="0.25">
      <c r="A499">
        <v>498</v>
      </c>
      <c r="B499" t="s">
        <v>227</v>
      </c>
      <c r="C499" t="s">
        <v>19</v>
      </c>
      <c r="D499">
        <v>13700</v>
      </c>
      <c r="E499" t="s">
        <v>23</v>
      </c>
      <c r="F499" t="s">
        <v>9</v>
      </c>
      <c r="O499">
        <f t="shared" ref="O499:O547" si="13">N499*N499</f>
        <v>0</v>
      </c>
    </row>
    <row r="500" spans="1:15" x14ac:dyDescent="0.25">
      <c r="A500">
        <v>499</v>
      </c>
      <c r="B500" t="s">
        <v>238</v>
      </c>
      <c r="O500">
        <f t="shared" si="13"/>
        <v>0</v>
      </c>
    </row>
    <row r="501" spans="1:15" x14ac:dyDescent="0.25">
      <c r="A501">
        <v>500</v>
      </c>
      <c r="B501" t="s">
        <v>115</v>
      </c>
      <c r="C501" t="s">
        <v>25</v>
      </c>
      <c r="D501">
        <v>6700</v>
      </c>
      <c r="E501" t="s">
        <v>38</v>
      </c>
      <c r="F501" t="s">
        <v>20</v>
      </c>
      <c r="O501">
        <f t="shared" si="13"/>
        <v>0</v>
      </c>
    </row>
  </sheetData>
  <autoFilter ref="D1:D501" xr:uid="{AA124BD7-1E42-438A-8E4E-2532B1A95BC4}"/>
  <mergeCells count="3">
    <mergeCell ref="N2:R2"/>
    <mergeCell ref="T2:X2"/>
    <mergeCell ref="G19:I2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1FD6E-2DE4-4821-94C1-071F464D1B84}">
  <dimension ref="A3:K29"/>
  <sheetViews>
    <sheetView workbookViewId="0">
      <selection activeCell="I26" sqref="I26"/>
    </sheetView>
  </sheetViews>
  <sheetFormatPr defaultRowHeight="15" x14ac:dyDescent="0.25"/>
  <cols>
    <col min="1" max="1" width="32.42578125" bestFit="1" customWidth="1"/>
    <col min="2" max="2" width="20.85546875" bestFit="1" customWidth="1"/>
    <col min="3" max="3" width="6" bestFit="1" customWidth="1"/>
    <col min="4" max="4" width="11.85546875" bestFit="1" customWidth="1"/>
    <col min="9" max="9" width="145.7109375" bestFit="1" customWidth="1"/>
  </cols>
  <sheetData>
    <row r="3" spans="1:11" x14ac:dyDescent="0.25">
      <c r="A3" s="18" t="s">
        <v>523</v>
      </c>
      <c r="B3" s="18" t="s">
        <v>522</v>
      </c>
    </row>
    <row r="4" spans="1:11" x14ac:dyDescent="0.25">
      <c r="A4" s="18" t="s">
        <v>520</v>
      </c>
      <c r="B4" t="s">
        <v>20</v>
      </c>
      <c r="C4" t="s">
        <v>9</v>
      </c>
      <c r="D4" t="s">
        <v>521</v>
      </c>
    </row>
    <row r="5" spans="1:11" x14ac:dyDescent="0.25">
      <c r="A5" s="19" t="s">
        <v>38</v>
      </c>
      <c r="B5" s="22">
        <v>55</v>
      </c>
      <c r="C5" s="22">
        <v>20</v>
      </c>
      <c r="D5" s="22">
        <v>75</v>
      </c>
      <c r="E5" t="s">
        <v>524</v>
      </c>
      <c r="I5">
        <f>GETPIVOTDATA("Контрагент",$A$3,"Статус оплаты","Не оплачен","Наличие нарушений","Да")^2/GETPIVOTDATA("Контрагент",$A$3,"Наличие нарушений","Да")/GETPIVOTDATA("Контрагент",$A$3,"Статус оплаты","Не оплачен")</f>
        <v>0.40333333333333332</v>
      </c>
      <c r="J5">
        <f>GETPIVOTDATA("Контрагент",$A$3,"Статус оплаты","Не оплачен","Наличие нарушений","Нет")^2/GETPIVOTDATA("Контрагент",$A$3,"Наличие нарушений","Нет")/GETPIVOTDATA("Контрагент",$A$3,"Статус оплаты","Не оплачен")</f>
        <v>1.3333333333333334E-2</v>
      </c>
    </row>
    <row r="6" spans="1:11" x14ac:dyDescent="0.25">
      <c r="A6" s="19" t="s">
        <v>8</v>
      </c>
      <c r="B6" s="22">
        <v>35</v>
      </c>
      <c r="C6" s="22">
        <v>315</v>
      </c>
      <c r="D6" s="22">
        <v>350</v>
      </c>
      <c r="I6">
        <f>GETPIVOTDATA("Контрагент",$A$3,"Статус оплаты","Оплачен","Наличие нарушений","Да")^2/GETPIVOTDATA("Контрагент",$A$3,"Наличие нарушений","Да")/GETPIVOTDATA("Контрагент",$A$3,"Статус оплаты","Оплачен")</f>
        <v>3.5000000000000003E-2</v>
      </c>
      <c r="J6">
        <f>GETPIVOTDATA("Контрагент",$A$3,"Статус оплаты","Оплачен","Наличие нарушений","Нет")^2/GETPIVOTDATA("Контрагент",$A$3,"Наличие нарушений","Нет")/GETPIVOTDATA("Контрагент",$A$3,"Статус оплаты","Оплачен")</f>
        <v>0.70874999999999999</v>
      </c>
    </row>
    <row r="7" spans="1:11" x14ac:dyDescent="0.25">
      <c r="A7" s="19" t="s">
        <v>23</v>
      </c>
      <c r="B7" s="22">
        <v>10</v>
      </c>
      <c r="C7" s="22">
        <v>65</v>
      </c>
      <c r="D7" s="22">
        <v>75</v>
      </c>
      <c r="I7">
        <f>GETPIVOTDATA("Контрагент",$A$3,"Статус оплаты","Частично","Наличие нарушений","Да")^2/GETPIVOTDATA("Контрагент",$A$3,"Наличие нарушений","Да")/GETPIVOTDATA("Контрагент",$A$3,"Статус оплаты","Частично")</f>
        <v>1.3333333333333334E-2</v>
      </c>
      <c r="J7">
        <f>GETPIVOTDATA("Контрагент",$A$3,"Статус оплаты","Частично","Наличие нарушений","Нет")^2/GETPIVOTDATA("Контрагент",$A$3,"Наличие нарушений","Нет")/GETPIVOTDATA("Контрагент",$A$3,"Статус оплаты","Частично")</f>
        <v>0.14083333333333334</v>
      </c>
    </row>
    <row r="8" spans="1:11" x14ac:dyDescent="0.25">
      <c r="A8" s="19" t="s">
        <v>521</v>
      </c>
      <c r="B8" s="22">
        <v>100</v>
      </c>
      <c r="C8" s="22">
        <v>400</v>
      </c>
      <c r="D8" s="22">
        <v>500</v>
      </c>
      <c r="I8">
        <f>SUM(I5:I7)</f>
        <v>0.45166666666666666</v>
      </c>
      <c r="J8">
        <f>SUM(J5:J7)</f>
        <v>0.86291666666666667</v>
      </c>
      <c r="K8">
        <f>I8+J8-1</f>
        <v>0.31458333333333321</v>
      </c>
    </row>
    <row r="10" spans="1:11" x14ac:dyDescent="0.25">
      <c r="B10">
        <f>SUM(B5:C5)*SUM($B$5:$B$7)/GETPIVOTDATA("Контрагент",$A$3)</f>
        <v>15</v>
      </c>
      <c r="C10">
        <f>SUM(B5:C5)*SUM($C$5:$C$7)/GETPIVOTDATA("Контрагент",$A$3)</f>
        <v>60</v>
      </c>
      <c r="E10" t="s">
        <v>525</v>
      </c>
      <c r="J10" t="s">
        <v>526</v>
      </c>
      <c r="K10">
        <f>K8*GETPIVOTDATA("Контрагент",$A$3)</f>
        <v>157.2916666666666</v>
      </c>
    </row>
    <row r="11" spans="1:11" x14ac:dyDescent="0.25">
      <c r="B11">
        <f>SUM(B6:C6)*SUM($B$5:$B$7)/GETPIVOTDATA("Контрагент",$A$3)</f>
        <v>70</v>
      </c>
      <c r="C11">
        <f>SUM(B6:C6)*SUM($C$5:$C$7)/GETPIVOTDATA("Контрагент",$A$3)</f>
        <v>280</v>
      </c>
    </row>
    <row r="12" spans="1:11" x14ac:dyDescent="0.25">
      <c r="B12">
        <f>SUM(B7:C7)*SUM($B$5:$B$7)/GETPIVOTDATA("Контрагент",$A$3)</f>
        <v>15</v>
      </c>
      <c r="C12">
        <f>SUM(B7:C7)*SUM($C$5:$C$7)/GETPIVOTDATA("Контрагент",$A$3)</f>
        <v>60</v>
      </c>
    </row>
    <row r="14" spans="1:11" x14ac:dyDescent="0.25">
      <c r="B14">
        <f>(GETPIVOTDATA("Контрагент",$A$3,"Статус оплаты","Не оплачен","Наличие нарушений","Да")-B10)^2/B10</f>
        <v>106.66666666666667</v>
      </c>
      <c r="C14">
        <f>(GETPIVOTDATA("Контрагент",$A$3,"Статус оплаты","Не оплачен","Наличие нарушений","Нет")-C10)^2/C10</f>
        <v>26.666666666666668</v>
      </c>
      <c r="E14" t="s">
        <v>526</v>
      </c>
      <c r="I14">
        <f>(60-20)^2/60</f>
        <v>26.666666666666668</v>
      </c>
    </row>
    <row r="15" spans="1:11" x14ac:dyDescent="0.25">
      <c r="B15">
        <f>(GETPIVOTDATA("Контрагент",$A$3,"Статус оплаты","Оплачен","Наличие нарушений","Да")-B11)^2/B11</f>
        <v>17.5</v>
      </c>
      <c r="C15">
        <f>(GETPIVOTDATA("Контрагент",$A$3,"Статус оплаты","Оплачен","Наличие нарушений","Нет")-C11)^2/C11</f>
        <v>4.375</v>
      </c>
      <c r="I15">
        <f>(55-15)^2/15</f>
        <v>106.66666666666667</v>
      </c>
    </row>
    <row r="16" spans="1:11" x14ac:dyDescent="0.25">
      <c r="B16">
        <f>(GETPIVOTDATA("Контрагент",$A$3,"Статус оплаты","Частично","Наличие нарушений","Да")-B12)^2/B12</f>
        <v>1.6666666666666667</v>
      </c>
      <c r="C16">
        <f>(GETPIVOTDATA("Контрагент",$A$3,"Статус оплаты","Частично","Наличие нарушений","Нет")-C12)^2/C12</f>
        <v>0.41666666666666669</v>
      </c>
    </row>
    <row r="17" spans="1:9" x14ac:dyDescent="0.25">
      <c r="B17">
        <f>SUM(B14:B16)</f>
        <v>125.83333333333334</v>
      </c>
      <c r="C17">
        <f>SUM(C14:C16)</f>
        <v>31.458333333333336</v>
      </c>
      <c r="D17">
        <f>B17+C17</f>
        <v>157.29166666666669</v>
      </c>
    </row>
    <row r="18" spans="1:9" x14ac:dyDescent="0.25">
      <c r="C18" t="s">
        <v>527</v>
      </c>
      <c r="D18">
        <f>SQRT(D17/(GETPIVOTDATA("Контрагент",$A$3)*SQRT(2*1)))</f>
        <v>0.47163970173032305</v>
      </c>
    </row>
    <row r="19" spans="1:9" x14ac:dyDescent="0.25">
      <c r="C19" t="s">
        <v>528</v>
      </c>
      <c r="D19">
        <f>SQRT(D17/(500+D17))</f>
        <v>0.48918574604774778</v>
      </c>
    </row>
    <row r="22" spans="1:9" x14ac:dyDescent="0.25">
      <c r="A22" s="20" t="s">
        <v>523</v>
      </c>
      <c r="B22" s="20" t="s">
        <v>522</v>
      </c>
      <c r="C22" s="20"/>
      <c r="D22" s="20"/>
    </row>
    <row r="23" spans="1:9" x14ac:dyDescent="0.25">
      <c r="A23" s="21" t="s">
        <v>520</v>
      </c>
      <c r="B23" s="21" t="s">
        <v>20</v>
      </c>
      <c r="C23" s="21" t="s">
        <v>9</v>
      </c>
      <c r="D23" s="21" t="s">
        <v>521</v>
      </c>
      <c r="I23">
        <f>39+295</f>
        <v>334</v>
      </c>
    </row>
    <row r="24" spans="1:9" x14ac:dyDescent="0.25">
      <c r="A24" s="19" t="s">
        <v>38</v>
      </c>
      <c r="B24" s="22">
        <f>552</f>
        <v>552</v>
      </c>
      <c r="C24" s="22">
        <v>20</v>
      </c>
      <c r="D24" s="22">
        <v>75</v>
      </c>
    </row>
    <row r="25" spans="1:9" x14ac:dyDescent="0.25">
      <c r="A25" s="19" t="s">
        <v>8</v>
      </c>
      <c r="B25" s="22">
        <v>35</v>
      </c>
      <c r="C25" s="22">
        <v>315</v>
      </c>
      <c r="D25" s="22">
        <v>350</v>
      </c>
      <c r="I25">
        <f>91+334+75</f>
        <v>500</v>
      </c>
    </row>
    <row r="26" spans="1:9" x14ac:dyDescent="0.25">
      <c r="A26" s="19" t="s">
        <v>23</v>
      </c>
      <c r="B26" s="22">
        <v>10</v>
      </c>
      <c r="C26" s="22">
        <v>65</v>
      </c>
      <c r="D26" s="22">
        <v>75</v>
      </c>
    </row>
    <row r="27" spans="1:9" x14ac:dyDescent="0.25">
      <c r="A27" s="23" t="s">
        <v>521</v>
      </c>
      <c r="B27" s="24">
        <v>100</v>
      </c>
      <c r="C27" s="24">
        <v>400</v>
      </c>
      <c r="D27" s="24">
        <v>500</v>
      </c>
      <c r="I27">
        <f>51+39+10</f>
        <v>100</v>
      </c>
    </row>
    <row r="29" spans="1:9" x14ac:dyDescent="0.25">
      <c r="I29">
        <f>40+295+65</f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501"/>
  <sheetViews>
    <sheetView topLeftCell="C1" workbookViewId="0">
      <selection activeCell="D113" sqref="D113:D500"/>
    </sheetView>
  </sheetViews>
  <sheetFormatPr defaultRowHeight="15" x14ac:dyDescent="0.25"/>
  <cols>
    <col min="1" max="1" width="12.5703125" bestFit="1" customWidth="1"/>
    <col min="2" max="2" width="10.140625" bestFit="1" customWidth="1"/>
    <col min="3" max="3" width="16.5703125" bestFit="1" customWidth="1"/>
    <col min="4" max="4" width="12.5703125" bestFit="1" customWidth="1"/>
    <col min="5" max="5" width="14.140625" bestFit="1" customWidth="1"/>
    <col min="6" max="6" width="20" bestFit="1" customWidth="1"/>
    <col min="8" max="8" width="11" bestFit="1" customWidth="1"/>
    <col min="9" max="9" width="10" bestFit="1" customWidth="1"/>
    <col min="10" max="10" width="22.140625" customWidth="1"/>
    <col min="11" max="11" width="11.28515625" bestFit="1" customWidth="1"/>
    <col min="14" max="14" width="21.28515625" bestFit="1" customWidth="1"/>
    <col min="15" max="15" width="11" bestFit="1" customWidth="1"/>
    <col min="20" max="21" width="12" bestFit="1" customWidth="1"/>
    <col min="24" max="24" width="9.5703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4" hidden="1" x14ac:dyDescent="0.25">
      <c r="A2">
        <v>1</v>
      </c>
      <c r="B2" t="s">
        <v>6</v>
      </c>
      <c r="C2" t="s">
        <v>7</v>
      </c>
      <c r="D2">
        <v>84900</v>
      </c>
      <c r="E2" t="s">
        <v>8</v>
      </c>
      <c r="F2" t="s">
        <v>9</v>
      </c>
      <c r="G2" t="s">
        <v>496</v>
      </c>
      <c r="H2">
        <f>_xlfn.VAR.P(D2:D501)</f>
        <v>5197103560</v>
      </c>
      <c r="I2">
        <f>I7*I7</f>
        <v>62500</v>
      </c>
      <c r="J2" t="s">
        <v>495</v>
      </c>
      <c r="K2">
        <f>(H2*4*500)/(H3^2*500+H2*4)</f>
        <v>312.24698914945969</v>
      </c>
      <c r="N2" s="28" t="s">
        <v>518</v>
      </c>
      <c r="O2" s="28"/>
      <c r="P2" s="28"/>
      <c r="Q2" s="28"/>
      <c r="R2" s="28"/>
      <c r="S2" s="5"/>
      <c r="T2" s="28" t="s">
        <v>519</v>
      </c>
      <c r="U2" s="28"/>
      <c r="V2" s="28"/>
      <c r="W2" s="28"/>
      <c r="X2" s="28"/>
    </row>
    <row r="3" spans="1:24" hidden="1" x14ac:dyDescent="0.25">
      <c r="A3">
        <v>2</v>
      </c>
      <c r="B3" t="s">
        <v>10</v>
      </c>
      <c r="C3" t="s">
        <v>11</v>
      </c>
      <c r="D3">
        <v>30700</v>
      </c>
      <c r="E3" t="s">
        <v>8</v>
      </c>
      <c r="F3" t="s">
        <v>9</v>
      </c>
      <c r="G3" t="s">
        <v>501</v>
      </c>
      <c r="H3">
        <v>5000</v>
      </c>
      <c r="I3">
        <v>5000</v>
      </c>
      <c r="J3" s="2" t="s">
        <v>502</v>
      </c>
      <c r="K3">
        <f>(I2*4*500)/(I3*500+I2*4)</f>
        <v>45.454545454545453</v>
      </c>
      <c r="M3" t="s">
        <v>514</v>
      </c>
      <c r="N3" t="s">
        <v>500</v>
      </c>
      <c r="O3" t="s">
        <v>515</v>
      </c>
      <c r="P3" t="s">
        <v>516</v>
      </c>
      <c r="Q3" t="s">
        <v>501</v>
      </c>
      <c r="R3" t="s">
        <v>517</v>
      </c>
      <c r="S3" t="s">
        <v>514</v>
      </c>
      <c r="T3" t="s">
        <v>500</v>
      </c>
      <c r="U3" t="s">
        <v>515</v>
      </c>
      <c r="V3" t="s">
        <v>516</v>
      </c>
      <c r="W3" t="s">
        <v>501</v>
      </c>
      <c r="X3" t="s">
        <v>517</v>
      </c>
    </row>
    <row r="4" spans="1:24" hidden="1" x14ac:dyDescent="0.25">
      <c r="A4">
        <v>3</v>
      </c>
      <c r="B4" t="s">
        <v>12</v>
      </c>
      <c r="C4" t="s">
        <v>13</v>
      </c>
      <c r="D4">
        <v>12200</v>
      </c>
      <c r="E4" t="s">
        <v>8</v>
      </c>
      <c r="F4" t="s">
        <v>9</v>
      </c>
      <c r="G4" t="s">
        <v>497</v>
      </c>
      <c r="H4">
        <f>MAX(D2:D501)</f>
        <v>500000</v>
      </c>
      <c r="L4" t="s">
        <v>504</v>
      </c>
      <c r="M4">
        <f>AVERAGE(D2:D501)</f>
        <v>57520</v>
      </c>
      <c r="N4">
        <f>_xlfn.STDEV.P(D2:D501)</f>
        <v>72090.939513922276</v>
      </c>
      <c r="O4" s="14">
        <f t="shared" ref="O4:O13" si="0">N4*N4</f>
        <v>5197103560</v>
      </c>
      <c r="P4" s="3">
        <f>N4/M4</f>
        <v>1.2533195325786208</v>
      </c>
      <c r="Q4" s="4">
        <v>5000</v>
      </c>
      <c r="R4">
        <f>(O4*4*500)/(Q4^2*500+O4*4)</f>
        <v>312.24698914945969</v>
      </c>
      <c r="S4">
        <v>57520</v>
      </c>
      <c r="T4" s="15">
        <f>V4*S4</f>
        <v>14955.2</v>
      </c>
      <c r="U4" s="13">
        <f>T4*T4</f>
        <v>223658007.04000002</v>
      </c>
      <c r="V4" s="9">
        <v>0.26</v>
      </c>
      <c r="W4" s="10">
        <v>1000</v>
      </c>
      <c r="X4" s="8">
        <f>(U4*4*500)/(W4^2*500+U4*4)</f>
        <v>320.74124575366591</v>
      </c>
    </row>
    <row r="5" spans="1:24" hidden="1" x14ac:dyDescent="0.25">
      <c r="A5">
        <v>4</v>
      </c>
      <c r="B5" t="s">
        <v>14</v>
      </c>
      <c r="C5" t="s">
        <v>15</v>
      </c>
      <c r="D5">
        <v>110600</v>
      </c>
      <c r="E5" t="s">
        <v>8</v>
      </c>
      <c r="F5" t="s">
        <v>9</v>
      </c>
      <c r="G5" t="s">
        <v>498</v>
      </c>
      <c r="H5">
        <f>MIN(D2:D501)</f>
        <v>0</v>
      </c>
      <c r="L5" t="s">
        <v>505</v>
      </c>
      <c r="M5">
        <f>AVERAGE('Вариант 2'!$D$2:$D$501)</f>
        <v>50325.2</v>
      </c>
      <c r="N5">
        <f>_xlfn.STDEV.P('Вариант 2'!$D$2:$D$501)</f>
        <v>53329.259932611101</v>
      </c>
      <c r="O5">
        <f t="shared" si="0"/>
        <v>2844009964.9599996</v>
      </c>
      <c r="P5" s="3">
        <f t="shared" ref="P5:P13" si="1">N5/M5</f>
        <v>1.0596929556685537</v>
      </c>
      <c r="Q5" s="4">
        <v>5000</v>
      </c>
      <c r="R5">
        <f t="shared" ref="R5:R13" si="2">(O5*4*500)/(Q5^2*500+O5*4)</f>
        <v>238.23129645077233</v>
      </c>
      <c r="S5">
        <v>50325.2</v>
      </c>
      <c r="T5" s="15">
        <f t="shared" ref="T5:T13" si="3">V5*S5</f>
        <v>9058.5359999999982</v>
      </c>
      <c r="U5" s="16">
        <f t="shared" ref="U5:U13" si="4">T5*T5</f>
        <v>82057074.463295966</v>
      </c>
      <c r="V5" s="6">
        <v>0.18</v>
      </c>
      <c r="W5" s="7">
        <v>5000</v>
      </c>
      <c r="X5" s="8">
        <f t="shared" ref="X5:X13" si="5">(U5*4*500)/(W5^2*500+U5*4)</f>
        <v>12.793204573234526</v>
      </c>
    </row>
    <row r="6" spans="1:24" hidden="1" x14ac:dyDescent="0.25">
      <c r="A6">
        <v>5</v>
      </c>
      <c r="B6" t="s">
        <v>16</v>
      </c>
      <c r="C6" t="s">
        <v>17</v>
      </c>
      <c r="D6">
        <v>8200</v>
      </c>
      <c r="E6" t="s">
        <v>8</v>
      </c>
      <c r="F6" t="s">
        <v>9</v>
      </c>
      <c r="G6" t="s">
        <v>499</v>
      </c>
      <c r="H6">
        <f>AVERAGE(D2:D501)</f>
        <v>57520</v>
      </c>
      <c r="L6" t="s">
        <v>506</v>
      </c>
      <c r="M6">
        <f>AVERAGE('Вариант 3'!$D$2:$D$501)</f>
        <v>55062.6</v>
      </c>
      <c r="N6">
        <f>_xlfn.STDEV.P('Вариант 3'!$D$2:$D$501)</f>
        <v>71367.760937554995</v>
      </c>
      <c r="O6">
        <f t="shared" si="0"/>
        <v>5093357301.2400007</v>
      </c>
      <c r="P6" s="3">
        <f t="shared" si="1"/>
        <v>1.2961204326994185</v>
      </c>
      <c r="Q6" s="4">
        <v>5000</v>
      </c>
      <c r="R6">
        <f t="shared" si="2"/>
        <v>309.87684731543044</v>
      </c>
      <c r="S6">
        <v>55062.6</v>
      </c>
      <c r="T6" s="15">
        <f t="shared" si="3"/>
        <v>23126.291999999998</v>
      </c>
      <c r="U6" s="17">
        <f t="shared" si="4"/>
        <v>534825381.6692639</v>
      </c>
      <c r="V6" s="11">
        <v>0.42</v>
      </c>
      <c r="W6" s="12">
        <v>5000</v>
      </c>
      <c r="X6" s="8">
        <f t="shared" si="5"/>
        <v>73.067062754962308</v>
      </c>
    </row>
    <row r="7" spans="1:24" hidden="1" x14ac:dyDescent="0.25">
      <c r="A7">
        <v>6</v>
      </c>
      <c r="B7" t="s">
        <v>18</v>
      </c>
      <c r="C7" t="s">
        <v>19</v>
      </c>
      <c r="D7">
        <v>24600</v>
      </c>
      <c r="E7" t="s">
        <v>8</v>
      </c>
      <c r="F7" t="s">
        <v>20</v>
      </c>
      <c r="G7" t="s">
        <v>500</v>
      </c>
      <c r="H7">
        <f>_xlfn.STDEV.P(D2:D501)</f>
        <v>72090.939513922276</v>
      </c>
      <c r="I7">
        <v>250</v>
      </c>
      <c r="L7" t="s">
        <v>507</v>
      </c>
      <c r="M7">
        <f>AVERAGE('Вариант 4'!$D$2:$D$501)</f>
        <v>60321</v>
      </c>
      <c r="N7">
        <f>_xlfn.STDEV.P('Вариант 4'!$D$2:$D$501)</f>
        <v>73393.447520878864</v>
      </c>
      <c r="O7">
        <f t="shared" si="0"/>
        <v>5386598139</v>
      </c>
      <c r="P7" s="3">
        <f t="shared" si="1"/>
        <v>1.2167147016939186</v>
      </c>
      <c r="Q7" s="4">
        <v>5000</v>
      </c>
      <c r="R7">
        <f t="shared" si="2"/>
        <v>316.42695361278265</v>
      </c>
      <c r="S7">
        <v>60321</v>
      </c>
      <c r="T7" s="15">
        <f t="shared" si="3"/>
        <v>17493.09</v>
      </c>
      <c r="U7" s="13">
        <f t="shared" si="4"/>
        <v>306008197.74809998</v>
      </c>
      <c r="V7" s="9">
        <v>0.28999999999999998</v>
      </c>
      <c r="W7" s="10">
        <v>5000</v>
      </c>
      <c r="X7" s="8">
        <f t="shared" si="5"/>
        <v>44.594501107421529</v>
      </c>
    </row>
    <row r="8" spans="1:24" hidden="1" x14ac:dyDescent="0.25">
      <c r="A8">
        <v>7</v>
      </c>
      <c r="B8" t="s">
        <v>21</v>
      </c>
      <c r="C8" t="s">
        <v>22</v>
      </c>
      <c r="D8">
        <v>37900</v>
      </c>
      <c r="E8" t="s">
        <v>23</v>
      </c>
      <c r="F8" t="s">
        <v>9</v>
      </c>
      <c r="L8" t="s">
        <v>508</v>
      </c>
      <c r="M8">
        <f>AVERAGE('Вариант 5'!$D$2:$D$501)</f>
        <v>56871.8</v>
      </c>
      <c r="N8">
        <f>_xlfn.STDEV.P('Вариант 5'!$D$2:$D$501)</f>
        <v>68864.36048319914</v>
      </c>
      <c r="O8">
        <f t="shared" si="0"/>
        <v>4742300144.7599993</v>
      </c>
      <c r="P8" s="3">
        <f t="shared" si="1"/>
        <v>1.2108700706360469</v>
      </c>
      <c r="Q8" s="4">
        <v>5000</v>
      </c>
      <c r="R8">
        <f t="shared" si="2"/>
        <v>301.3931118363775</v>
      </c>
      <c r="S8">
        <v>56871.8</v>
      </c>
      <c r="T8" s="15">
        <f t="shared" si="3"/>
        <v>11943.078</v>
      </c>
      <c r="U8" s="13">
        <f t="shared" si="4"/>
        <v>142637112.11408398</v>
      </c>
      <c r="V8" s="9">
        <v>0.21</v>
      </c>
      <c r="W8" s="10">
        <v>5000</v>
      </c>
      <c r="X8" s="8">
        <f t="shared" si="5"/>
        <v>21.825727156985486</v>
      </c>
    </row>
    <row r="9" spans="1:24" hidden="1" x14ac:dyDescent="0.25">
      <c r="A9">
        <v>8</v>
      </c>
      <c r="B9" t="s">
        <v>24</v>
      </c>
      <c r="C9" t="s">
        <v>25</v>
      </c>
      <c r="D9">
        <v>18300</v>
      </c>
      <c r="E9" t="s">
        <v>8</v>
      </c>
      <c r="F9" t="s">
        <v>9</v>
      </c>
      <c r="H9">
        <v>4500000000</v>
      </c>
      <c r="L9" t="s">
        <v>509</v>
      </c>
      <c r="M9">
        <f>AVERAGE('Вариант 6'!$D$2:$D$501)</f>
        <v>81076.2</v>
      </c>
      <c r="N9">
        <f>_xlfn.STDEV.P('Вариант 6'!$D$2:$D$501)</f>
        <v>89053.564855989913</v>
      </c>
      <c r="O9">
        <f t="shared" si="0"/>
        <v>7930537413.5600014</v>
      </c>
      <c r="P9" s="3">
        <f t="shared" si="1"/>
        <v>1.0983934231746173</v>
      </c>
      <c r="Q9" s="4">
        <v>5000</v>
      </c>
      <c r="R9">
        <f t="shared" si="2"/>
        <v>358.6681097850983</v>
      </c>
      <c r="S9">
        <v>81076.2</v>
      </c>
      <c r="T9" s="15">
        <f t="shared" si="3"/>
        <v>41348.862000000001</v>
      </c>
      <c r="U9" s="17">
        <f t="shared" si="4"/>
        <v>1709728388.695044</v>
      </c>
      <c r="V9" s="11">
        <v>0.51</v>
      </c>
      <c r="W9" s="12">
        <v>5000</v>
      </c>
      <c r="X9" s="8">
        <f t="shared" si="5"/>
        <v>176.81741881228223</v>
      </c>
    </row>
    <row r="10" spans="1:24" hidden="1" x14ac:dyDescent="0.25">
      <c r="A10">
        <v>9</v>
      </c>
      <c r="B10" t="s">
        <v>26</v>
      </c>
      <c r="C10" t="s">
        <v>27</v>
      </c>
      <c r="D10">
        <v>25900</v>
      </c>
      <c r="E10" t="s">
        <v>8</v>
      </c>
      <c r="F10" t="s">
        <v>9</v>
      </c>
      <c r="H10">
        <f>H2/H9</f>
        <v>1.1549119022222223</v>
      </c>
      <c r="L10" t="s">
        <v>510</v>
      </c>
      <c r="M10">
        <f>AVERAGE('Вариант 7'!$D$2:$D$501)</f>
        <v>34562.400000000001</v>
      </c>
      <c r="N10">
        <f>_xlfn.STDEV.P('Вариант 7'!$D$2:$D$501)</f>
        <v>51432.69608177273</v>
      </c>
      <c r="O10">
        <f t="shared" si="0"/>
        <v>2645322226.2399998</v>
      </c>
      <c r="P10" s="3">
        <f t="shared" si="1"/>
        <v>1.4881112446407867</v>
      </c>
      <c r="Q10" s="4">
        <v>5000</v>
      </c>
      <c r="R10">
        <f t="shared" si="2"/>
        <v>229.21789481795705</v>
      </c>
      <c r="S10">
        <v>34562.400000000001</v>
      </c>
      <c r="T10" s="15">
        <f t="shared" si="3"/>
        <v>5875.6080000000011</v>
      </c>
      <c r="U10" s="16">
        <f t="shared" si="4"/>
        <v>34522769.369664013</v>
      </c>
      <c r="V10" s="6">
        <v>0.17</v>
      </c>
      <c r="W10" s="7">
        <v>5000</v>
      </c>
      <c r="X10" s="8">
        <f t="shared" si="5"/>
        <v>5.4632885865467955</v>
      </c>
    </row>
    <row r="11" spans="1:24" hidden="1" x14ac:dyDescent="0.25">
      <c r="A11">
        <v>10</v>
      </c>
      <c r="B11" t="s">
        <v>28</v>
      </c>
      <c r="C11" t="s">
        <v>29</v>
      </c>
      <c r="D11">
        <v>65000</v>
      </c>
      <c r="E11" t="s">
        <v>8</v>
      </c>
      <c r="F11" t="s">
        <v>9</v>
      </c>
      <c r="L11" t="s">
        <v>511</v>
      </c>
      <c r="M11">
        <f>AVERAGE('Вариант 8'!$D$2:$D$501)</f>
        <v>56566.2</v>
      </c>
      <c r="N11">
        <f>_xlfn.STDEV.P('Вариант 8'!$D$2:$D$501)</f>
        <v>73265.767706071303</v>
      </c>
      <c r="O11">
        <f t="shared" si="0"/>
        <v>5367872717.5600004</v>
      </c>
      <c r="P11" s="3">
        <f t="shared" si="1"/>
        <v>1.295221664281343</v>
      </c>
      <c r="Q11" s="4">
        <v>5000</v>
      </c>
      <c r="R11">
        <f t="shared" si="2"/>
        <v>316.0222045045665</v>
      </c>
      <c r="S11">
        <v>56566.2</v>
      </c>
      <c r="T11" s="15">
        <f t="shared" si="3"/>
        <v>14141.55</v>
      </c>
      <c r="U11" s="13">
        <f t="shared" si="4"/>
        <v>199983436.40249997</v>
      </c>
      <c r="V11" s="9">
        <v>0.25</v>
      </c>
      <c r="W11" s="10">
        <v>5000</v>
      </c>
      <c r="X11" s="8">
        <f t="shared" si="5"/>
        <v>30.072847012265736</v>
      </c>
    </row>
    <row r="12" spans="1:24" hidden="1" x14ac:dyDescent="0.25">
      <c r="A12">
        <v>11</v>
      </c>
      <c r="B12" t="s">
        <v>30</v>
      </c>
      <c r="C12" t="s">
        <v>31</v>
      </c>
      <c r="D12">
        <v>38400</v>
      </c>
      <c r="E12" t="s">
        <v>8</v>
      </c>
      <c r="F12" t="s">
        <v>9</v>
      </c>
      <c r="G12" t="s">
        <v>503</v>
      </c>
      <c r="H12">
        <f>H7/H6*100</f>
        <v>125.33195325786208</v>
      </c>
      <c r="L12" t="s">
        <v>512</v>
      </c>
      <c r="M12">
        <f>AVERAGE('Вариант 9'!$D$2:$D$501)</f>
        <v>56878</v>
      </c>
      <c r="N12">
        <f>_xlfn.STDEV.P('Вариант 9'!$D$2:$D$501)</f>
        <v>70966.298733976539</v>
      </c>
      <c r="O12">
        <f t="shared" si="0"/>
        <v>5036215556</v>
      </c>
      <c r="P12" s="3">
        <f t="shared" si="1"/>
        <v>1.247693286226248</v>
      </c>
      <c r="Q12" s="4">
        <v>5000</v>
      </c>
      <c r="R12">
        <f t="shared" si="2"/>
        <v>308.54567689352672</v>
      </c>
      <c r="S12">
        <v>56878</v>
      </c>
      <c r="T12" s="15">
        <f t="shared" si="3"/>
        <v>15357.060000000001</v>
      </c>
      <c r="U12" s="13">
        <f t="shared" si="4"/>
        <v>235839291.84360003</v>
      </c>
      <c r="V12" s="9">
        <v>0.27</v>
      </c>
      <c r="W12" s="10">
        <v>5000</v>
      </c>
      <c r="X12" s="8">
        <f t="shared" si="5"/>
        <v>35.086368517524321</v>
      </c>
    </row>
    <row r="13" spans="1:24" hidden="1" x14ac:dyDescent="0.25">
      <c r="A13">
        <v>12</v>
      </c>
      <c r="B13" t="s">
        <v>32</v>
      </c>
      <c r="C13" t="s">
        <v>33</v>
      </c>
      <c r="D13">
        <v>263500</v>
      </c>
      <c r="E13" t="s">
        <v>8</v>
      </c>
      <c r="F13" t="s">
        <v>9</v>
      </c>
      <c r="L13" t="s">
        <v>513</v>
      </c>
      <c r="M13">
        <f>AVERAGE('Вариант 10'!$D$2:$D$501)</f>
        <v>58319.8</v>
      </c>
      <c r="N13">
        <f>_xlfn.STDEV.P('Вариант 10'!$D$2:$D$501)</f>
        <v>72627.3371944752</v>
      </c>
      <c r="O13">
        <f t="shared" si="0"/>
        <v>5274730107.960001</v>
      </c>
      <c r="P13" s="3">
        <f t="shared" si="1"/>
        <v>1.2453289825149467</v>
      </c>
      <c r="Q13" s="4">
        <v>5000</v>
      </c>
      <c r="R13">
        <f t="shared" si="2"/>
        <v>313.9821184826763</v>
      </c>
      <c r="S13">
        <v>58319.8</v>
      </c>
      <c r="T13" s="15">
        <f t="shared" si="3"/>
        <v>13413.554000000002</v>
      </c>
      <c r="U13" s="13">
        <f t="shared" si="4"/>
        <v>179923430.91091606</v>
      </c>
      <c r="V13" s="9">
        <v>0.23</v>
      </c>
      <c r="W13" s="10">
        <v>5000</v>
      </c>
      <c r="X13" s="8">
        <f t="shared" si="5"/>
        <v>27.220514283038149</v>
      </c>
    </row>
    <row r="14" spans="1:24" hidden="1" x14ac:dyDescent="0.25">
      <c r="A14">
        <v>13</v>
      </c>
      <c r="B14" t="s">
        <v>34</v>
      </c>
      <c r="C14" t="s">
        <v>7</v>
      </c>
      <c r="D14">
        <v>29500</v>
      </c>
      <c r="E14" t="s">
        <v>8</v>
      </c>
      <c r="F14" t="s">
        <v>9</v>
      </c>
    </row>
    <row r="15" spans="1:24" hidden="1" x14ac:dyDescent="0.25">
      <c r="A15">
        <v>14</v>
      </c>
      <c r="B15" t="s">
        <v>35</v>
      </c>
      <c r="C15" t="s">
        <v>11</v>
      </c>
      <c r="D15">
        <v>33200</v>
      </c>
      <c r="E15" t="s">
        <v>23</v>
      </c>
      <c r="F15" t="s">
        <v>9</v>
      </c>
      <c r="S15">
        <v>60432</v>
      </c>
      <c r="T15" s="15">
        <f>SQRT(U15)</f>
        <v>42365.979464660086</v>
      </c>
      <c r="U15" s="13">
        <v>1794876216</v>
      </c>
      <c r="V15" s="9">
        <f>T15/S15</f>
        <v>0.70105208274854525</v>
      </c>
      <c r="W15" s="10">
        <v>5000</v>
      </c>
      <c r="X15" s="13">
        <f>(U15*4*500)/(W15^2*500+U15*4)</f>
        <v>182.4107088469886</v>
      </c>
    </row>
    <row r="16" spans="1:24" hidden="1" x14ac:dyDescent="0.25">
      <c r="A16">
        <v>15</v>
      </c>
      <c r="B16" t="s">
        <v>36</v>
      </c>
      <c r="C16" t="s">
        <v>13</v>
      </c>
      <c r="D16">
        <v>107300</v>
      </c>
      <c r="E16" t="s">
        <v>8</v>
      </c>
      <c r="F16" t="s">
        <v>9</v>
      </c>
      <c r="H16">
        <f>H6+3*H7</f>
        <v>273792.81854176684</v>
      </c>
    </row>
    <row r="17" spans="1:11" hidden="1" x14ac:dyDescent="0.25">
      <c r="A17">
        <v>16</v>
      </c>
      <c r="B17" t="s">
        <v>37</v>
      </c>
      <c r="C17" t="s">
        <v>15</v>
      </c>
      <c r="D17">
        <v>93600</v>
      </c>
      <c r="E17" t="s">
        <v>38</v>
      </c>
      <c r="F17" t="s">
        <v>9</v>
      </c>
      <c r="H17">
        <f>H6-3*H7</f>
        <v>-158752.81854176684</v>
      </c>
    </row>
    <row r="18" spans="1:11" hidden="1" x14ac:dyDescent="0.25">
      <c r="A18">
        <v>17</v>
      </c>
      <c r="B18" t="s">
        <v>39</v>
      </c>
      <c r="C18" t="s">
        <v>17</v>
      </c>
      <c r="D18">
        <v>127400</v>
      </c>
      <c r="E18" t="s">
        <v>8</v>
      </c>
      <c r="F18" t="s">
        <v>9</v>
      </c>
      <c r="K18" s="26">
        <v>1794876216</v>
      </c>
    </row>
    <row r="19" spans="1:11" hidden="1" x14ac:dyDescent="0.25">
      <c r="A19">
        <v>18</v>
      </c>
      <c r="B19" t="s">
        <v>40</v>
      </c>
      <c r="C19" t="s">
        <v>19</v>
      </c>
      <c r="D19">
        <v>27100</v>
      </c>
      <c r="E19" t="s">
        <v>8</v>
      </c>
      <c r="F19" t="s">
        <v>20</v>
      </c>
      <c r="K19" s="14"/>
    </row>
    <row r="20" spans="1:11" hidden="1" x14ac:dyDescent="0.25">
      <c r="A20">
        <v>19</v>
      </c>
      <c r="B20" t="s">
        <v>37</v>
      </c>
      <c r="C20" t="s">
        <v>22</v>
      </c>
      <c r="D20">
        <v>65300</v>
      </c>
      <c r="E20" t="s">
        <v>38</v>
      </c>
      <c r="F20" t="s">
        <v>9</v>
      </c>
      <c r="K20" s="27">
        <v>1794876216</v>
      </c>
    </row>
    <row r="21" spans="1:11" hidden="1" x14ac:dyDescent="0.25">
      <c r="A21">
        <v>20</v>
      </c>
      <c r="B21" t="s">
        <v>41</v>
      </c>
      <c r="C21" t="s">
        <v>25</v>
      </c>
      <c r="D21">
        <v>12800</v>
      </c>
      <c r="E21" t="s">
        <v>8</v>
      </c>
      <c r="F21" t="s">
        <v>9</v>
      </c>
      <c r="K21" s="27">
        <v>223000000</v>
      </c>
    </row>
    <row r="22" spans="1:11" hidden="1" x14ac:dyDescent="0.25">
      <c r="A22">
        <v>21</v>
      </c>
      <c r="B22" t="s">
        <v>42</v>
      </c>
      <c r="C22" t="s">
        <v>27</v>
      </c>
      <c r="D22">
        <v>26300</v>
      </c>
      <c r="E22" t="s">
        <v>38</v>
      </c>
      <c r="F22" t="s">
        <v>20</v>
      </c>
      <c r="K22" s="27">
        <v>236160424</v>
      </c>
    </row>
    <row r="23" spans="1:11" hidden="1" x14ac:dyDescent="0.25">
      <c r="A23">
        <v>22</v>
      </c>
      <c r="B23" t="s">
        <v>43</v>
      </c>
      <c r="C23" t="s">
        <v>29</v>
      </c>
      <c r="D23">
        <v>19600</v>
      </c>
      <c r="E23" t="s">
        <v>8</v>
      </c>
      <c r="F23" t="s">
        <v>9</v>
      </c>
    </row>
    <row r="24" spans="1:11" hidden="1" x14ac:dyDescent="0.25">
      <c r="A24">
        <v>23</v>
      </c>
      <c r="B24" t="s">
        <v>44</v>
      </c>
      <c r="C24" t="s">
        <v>31</v>
      </c>
      <c r="D24">
        <v>52400</v>
      </c>
      <c r="E24" t="s">
        <v>38</v>
      </c>
      <c r="F24" t="s">
        <v>20</v>
      </c>
    </row>
    <row r="25" spans="1:11" hidden="1" x14ac:dyDescent="0.25">
      <c r="A25">
        <v>24</v>
      </c>
      <c r="B25" t="s">
        <v>45</v>
      </c>
      <c r="C25" t="s">
        <v>33</v>
      </c>
      <c r="D25">
        <v>105900</v>
      </c>
      <c r="E25" t="s">
        <v>8</v>
      </c>
      <c r="F25" t="s">
        <v>9</v>
      </c>
    </row>
    <row r="26" spans="1:11" hidden="1" x14ac:dyDescent="0.25">
      <c r="A26">
        <v>25</v>
      </c>
      <c r="B26" t="s">
        <v>46</v>
      </c>
      <c r="C26" t="s">
        <v>7</v>
      </c>
      <c r="D26">
        <v>29300</v>
      </c>
      <c r="E26" t="s">
        <v>8</v>
      </c>
      <c r="F26" t="s">
        <v>9</v>
      </c>
    </row>
    <row r="27" spans="1:11" hidden="1" x14ac:dyDescent="0.25">
      <c r="A27">
        <v>26</v>
      </c>
      <c r="B27" t="s">
        <v>21</v>
      </c>
      <c r="C27" t="s">
        <v>11</v>
      </c>
      <c r="D27">
        <v>32600</v>
      </c>
      <c r="E27" t="s">
        <v>38</v>
      </c>
      <c r="F27" t="s">
        <v>20</v>
      </c>
    </row>
    <row r="28" spans="1:11" hidden="1" x14ac:dyDescent="0.25">
      <c r="A28">
        <v>27</v>
      </c>
      <c r="B28" t="s">
        <v>47</v>
      </c>
      <c r="C28" t="s">
        <v>13</v>
      </c>
      <c r="D28">
        <v>87700</v>
      </c>
      <c r="E28" t="s">
        <v>8</v>
      </c>
      <c r="F28" t="s">
        <v>9</v>
      </c>
    </row>
    <row r="29" spans="1:11" hidden="1" x14ac:dyDescent="0.25">
      <c r="A29">
        <v>28</v>
      </c>
      <c r="B29" t="s">
        <v>48</v>
      </c>
      <c r="C29" t="s">
        <v>15</v>
      </c>
      <c r="D29">
        <v>19300</v>
      </c>
      <c r="E29" t="s">
        <v>8</v>
      </c>
      <c r="F29" t="s">
        <v>9</v>
      </c>
    </row>
    <row r="30" spans="1:11" hidden="1" x14ac:dyDescent="0.25">
      <c r="A30">
        <v>29</v>
      </c>
      <c r="B30" t="s">
        <v>49</v>
      </c>
      <c r="C30" t="s">
        <v>17</v>
      </c>
      <c r="D30">
        <v>121400</v>
      </c>
      <c r="E30" t="s">
        <v>8</v>
      </c>
      <c r="F30" t="s">
        <v>9</v>
      </c>
    </row>
    <row r="31" spans="1:11" hidden="1" x14ac:dyDescent="0.25">
      <c r="A31">
        <v>30</v>
      </c>
      <c r="B31" t="s">
        <v>50</v>
      </c>
      <c r="C31" t="s">
        <v>19</v>
      </c>
      <c r="D31">
        <v>6200</v>
      </c>
      <c r="E31" t="s">
        <v>23</v>
      </c>
      <c r="F31" t="s">
        <v>9</v>
      </c>
    </row>
    <row r="32" spans="1:11" hidden="1" x14ac:dyDescent="0.25">
      <c r="A32">
        <v>31</v>
      </c>
      <c r="B32" t="s">
        <v>51</v>
      </c>
      <c r="C32" t="s">
        <v>22</v>
      </c>
      <c r="D32">
        <v>27600</v>
      </c>
      <c r="E32" t="s">
        <v>38</v>
      </c>
      <c r="F32" t="s">
        <v>20</v>
      </c>
    </row>
    <row r="33" spans="1:6" hidden="1" x14ac:dyDescent="0.25">
      <c r="A33">
        <v>32</v>
      </c>
      <c r="B33" t="s">
        <v>52</v>
      </c>
      <c r="C33" t="s">
        <v>25</v>
      </c>
      <c r="D33">
        <v>36500</v>
      </c>
      <c r="E33" t="s">
        <v>8</v>
      </c>
      <c r="F33" t="s">
        <v>9</v>
      </c>
    </row>
    <row r="34" spans="1:6" hidden="1" x14ac:dyDescent="0.25">
      <c r="A34">
        <v>33</v>
      </c>
      <c r="B34" t="s">
        <v>53</v>
      </c>
      <c r="C34" t="s">
        <v>27</v>
      </c>
      <c r="D34">
        <v>29600</v>
      </c>
      <c r="E34" t="s">
        <v>23</v>
      </c>
      <c r="F34" t="s">
        <v>9</v>
      </c>
    </row>
    <row r="35" spans="1:6" hidden="1" x14ac:dyDescent="0.25">
      <c r="A35">
        <v>34</v>
      </c>
      <c r="B35" t="s">
        <v>34</v>
      </c>
      <c r="C35" t="s">
        <v>29</v>
      </c>
      <c r="D35">
        <v>23200</v>
      </c>
      <c r="E35" t="s">
        <v>8</v>
      </c>
      <c r="F35" t="s">
        <v>9</v>
      </c>
    </row>
    <row r="36" spans="1:6" hidden="1" x14ac:dyDescent="0.25">
      <c r="A36">
        <v>35</v>
      </c>
      <c r="B36" t="s">
        <v>54</v>
      </c>
      <c r="C36" t="s">
        <v>31</v>
      </c>
      <c r="D36">
        <v>15300</v>
      </c>
      <c r="E36" t="s">
        <v>23</v>
      </c>
      <c r="F36" t="s">
        <v>9</v>
      </c>
    </row>
    <row r="37" spans="1:6" hidden="1" x14ac:dyDescent="0.25">
      <c r="A37">
        <v>36</v>
      </c>
      <c r="B37" t="s">
        <v>55</v>
      </c>
      <c r="C37" t="s">
        <v>33</v>
      </c>
      <c r="D37">
        <v>5800</v>
      </c>
      <c r="E37" t="s">
        <v>23</v>
      </c>
      <c r="F37" t="s">
        <v>9</v>
      </c>
    </row>
    <row r="38" spans="1:6" hidden="1" x14ac:dyDescent="0.25">
      <c r="A38">
        <v>37</v>
      </c>
      <c r="B38" t="s">
        <v>56</v>
      </c>
      <c r="C38" t="s">
        <v>7</v>
      </c>
      <c r="D38">
        <v>15600</v>
      </c>
      <c r="E38" t="s">
        <v>8</v>
      </c>
      <c r="F38" t="s">
        <v>9</v>
      </c>
    </row>
    <row r="39" spans="1:6" hidden="1" x14ac:dyDescent="0.25">
      <c r="A39">
        <v>38</v>
      </c>
      <c r="B39" t="s">
        <v>57</v>
      </c>
      <c r="C39" t="s">
        <v>11</v>
      </c>
      <c r="D39">
        <v>55900</v>
      </c>
      <c r="E39" t="s">
        <v>8</v>
      </c>
      <c r="F39" t="s">
        <v>9</v>
      </c>
    </row>
    <row r="40" spans="1:6" hidden="1" x14ac:dyDescent="0.25">
      <c r="A40">
        <v>39</v>
      </c>
      <c r="B40" t="s">
        <v>58</v>
      </c>
      <c r="C40" t="s">
        <v>13</v>
      </c>
      <c r="D40">
        <v>53400</v>
      </c>
      <c r="E40" t="s">
        <v>8</v>
      </c>
      <c r="F40" t="s">
        <v>9</v>
      </c>
    </row>
    <row r="41" spans="1:6" hidden="1" x14ac:dyDescent="0.25">
      <c r="A41">
        <v>40</v>
      </c>
      <c r="B41" t="s">
        <v>59</v>
      </c>
      <c r="C41" t="s">
        <v>15</v>
      </c>
      <c r="D41">
        <v>205200</v>
      </c>
      <c r="E41" t="s">
        <v>38</v>
      </c>
      <c r="F41" t="s">
        <v>20</v>
      </c>
    </row>
    <row r="42" spans="1:6" hidden="1" x14ac:dyDescent="0.25">
      <c r="A42">
        <v>41</v>
      </c>
      <c r="B42" t="s">
        <v>56</v>
      </c>
      <c r="C42" t="s">
        <v>17</v>
      </c>
      <c r="D42">
        <v>70900</v>
      </c>
      <c r="E42" t="s">
        <v>8</v>
      </c>
      <c r="F42" t="s">
        <v>9</v>
      </c>
    </row>
    <row r="43" spans="1:6" hidden="1" x14ac:dyDescent="0.25">
      <c r="A43">
        <v>42</v>
      </c>
      <c r="B43" t="s">
        <v>60</v>
      </c>
      <c r="C43" t="s">
        <v>19</v>
      </c>
      <c r="D43">
        <v>170500</v>
      </c>
      <c r="E43" t="s">
        <v>38</v>
      </c>
      <c r="F43" t="s">
        <v>20</v>
      </c>
    </row>
    <row r="44" spans="1:6" hidden="1" x14ac:dyDescent="0.25">
      <c r="A44">
        <v>43</v>
      </c>
      <c r="B44" t="s">
        <v>61</v>
      </c>
      <c r="C44" t="s">
        <v>22</v>
      </c>
      <c r="D44">
        <v>17100</v>
      </c>
      <c r="E44" t="s">
        <v>8</v>
      </c>
      <c r="F44" t="s">
        <v>9</v>
      </c>
    </row>
    <row r="45" spans="1:6" hidden="1" x14ac:dyDescent="0.25">
      <c r="A45">
        <v>44</v>
      </c>
      <c r="B45" t="s">
        <v>62</v>
      </c>
      <c r="C45" t="s">
        <v>25</v>
      </c>
      <c r="D45">
        <v>15100</v>
      </c>
      <c r="E45" t="s">
        <v>23</v>
      </c>
      <c r="F45" t="s">
        <v>9</v>
      </c>
    </row>
    <row r="46" spans="1:6" hidden="1" x14ac:dyDescent="0.25">
      <c r="A46">
        <v>45</v>
      </c>
      <c r="B46" t="s">
        <v>63</v>
      </c>
      <c r="C46" t="s">
        <v>27</v>
      </c>
      <c r="D46">
        <v>30500</v>
      </c>
      <c r="E46" t="s">
        <v>8</v>
      </c>
      <c r="F46" t="s">
        <v>9</v>
      </c>
    </row>
    <row r="47" spans="1:6" hidden="1" x14ac:dyDescent="0.25">
      <c r="A47">
        <v>46</v>
      </c>
      <c r="B47" t="s">
        <v>64</v>
      </c>
      <c r="C47" t="s">
        <v>29</v>
      </c>
      <c r="D47">
        <v>55800</v>
      </c>
      <c r="E47" t="s">
        <v>8</v>
      </c>
      <c r="F47" t="s">
        <v>9</v>
      </c>
    </row>
    <row r="48" spans="1:6" hidden="1" x14ac:dyDescent="0.25">
      <c r="A48">
        <v>47</v>
      </c>
      <c r="B48" t="s">
        <v>65</v>
      </c>
      <c r="C48" t="s">
        <v>31</v>
      </c>
      <c r="D48">
        <v>27900</v>
      </c>
      <c r="E48" t="s">
        <v>8</v>
      </c>
      <c r="F48" t="s">
        <v>9</v>
      </c>
    </row>
    <row r="49" spans="1:15" hidden="1" x14ac:dyDescent="0.25">
      <c r="A49">
        <v>48</v>
      </c>
      <c r="B49" t="s">
        <v>66</v>
      </c>
      <c r="C49" t="s">
        <v>33</v>
      </c>
      <c r="D49">
        <v>27900</v>
      </c>
      <c r="E49" t="s">
        <v>8</v>
      </c>
      <c r="F49" t="s">
        <v>9</v>
      </c>
    </row>
    <row r="50" spans="1:15" hidden="1" x14ac:dyDescent="0.25">
      <c r="A50">
        <v>49</v>
      </c>
      <c r="B50" t="s">
        <v>47</v>
      </c>
      <c r="C50" t="s">
        <v>7</v>
      </c>
      <c r="D50">
        <v>92400</v>
      </c>
      <c r="E50" t="s">
        <v>8</v>
      </c>
      <c r="F50" t="s">
        <v>9</v>
      </c>
    </row>
    <row r="51" spans="1:15" hidden="1" x14ac:dyDescent="0.25">
      <c r="A51">
        <v>50</v>
      </c>
      <c r="B51" t="s">
        <v>67</v>
      </c>
      <c r="C51" t="s">
        <v>11</v>
      </c>
      <c r="D51">
        <v>23900</v>
      </c>
      <c r="E51" t="s">
        <v>8</v>
      </c>
      <c r="F51" t="s">
        <v>9</v>
      </c>
      <c r="O51">
        <f t="shared" ref="O51:O68" si="6">N51*N51</f>
        <v>0</v>
      </c>
    </row>
    <row r="52" spans="1:15" hidden="1" x14ac:dyDescent="0.25">
      <c r="A52">
        <v>51</v>
      </c>
      <c r="B52" t="s">
        <v>18</v>
      </c>
      <c r="C52" t="s">
        <v>13</v>
      </c>
      <c r="D52">
        <v>158600</v>
      </c>
      <c r="E52" t="s">
        <v>8</v>
      </c>
      <c r="F52" t="s">
        <v>9</v>
      </c>
      <c r="O52">
        <f t="shared" si="6"/>
        <v>0</v>
      </c>
    </row>
    <row r="53" spans="1:15" hidden="1" x14ac:dyDescent="0.25">
      <c r="A53">
        <v>52</v>
      </c>
      <c r="B53" t="s">
        <v>68</v>
      </c>
      <c r="C53" t="s">
        <v>15</v>
      </c>
      <c r="D53">
        <v>73400</v>
      </c>
      <c r="E53" t="s">
        <v>8</v>
      </c>
      <c r="F53" t="s">
        <v>9</v>
      </c>
      <c r="O53">
        <f t="shared" si="6"/>
        <v>0</v>
      </c>
    </row>
    <row r="54" spans="1:15" hidden="1" x14ac:dyDescent="0.25">
      <c r="A54">
        <v>53</v>
      </c>
      <c r="B54" t="s">
        <v>69</v>
      </c>
      <c r="C54" t="s">
        <v>17</v>
      </c>
      <c r="D54">
        <v>62300</v>
      </c>
      <c r="E54" t="s">
        <v>38</v>
      </c>
      <c r="F54" t="s">
        <v>20</v>
      </c>
      <c r="O54">
        <f t="shared" si="6"/>
        <v>0</v>
      </c>
    </row>
    <row r="55" spans="1:15" hidden="1" x14ac:dyDescent="0.25">
      <c r="A55">
        <v>54</v>
      </c>
      <c r="B55" t="s">
        <v>70</v>
      </c>
      <c r="C55" t="s">
        <v>19</v>
      </c>
      <c r="D55">
        <v>16600</v>
      </c>
      <c r="E55" t="s">
        <v>8</v>
      </c>
      <c r="F55" t="s">
        <v>20</v>
      </c>
      <c r="O55">
        <f t="shared" si="6"/>
        <v>0</v>
      </c>
    </row>
    <row r="56" spans="1:15" hidden="1" x14ac:dyDescent="0.25">
      <c r="A56">
        <v>55</v>
      </c>
      <c r="B56" t="s">
        <v>71</v>
      </c>
      <c r="C56" t="s">
        <v>22</v>
      </c>
      <c r="D56">
        <v>57000</v>
      </c>
      <c r="E56" t="s">
        <v>38</v>
      </c>
      <c r="F56" t="s">
        <v>9</v>
      </c>
      <c r="O56">
        <f t="shared" si="6"/>
        <v>0</v>
      </c>
    </row>
    <row r="57" spans="1:15" hidden="1" x14ac:dyDescent="0.25">
      <c r="A57">
        <v>56</v>
      </c>
      <c r="B57" t="s">
        <v>72</v>
      </c>
      <c r="C57" t="s">
        <v>25</v>
      </c>
      <c r="D57">
        <v>46500</v>
      </c>
      <c r="E57" t="s">
        <v>38</v>
      </c>
      <c r="F57" t="s">
        <v>20</v>
      </c>
      <c r="O57">
        <f t="shared" si="6"/>
        <v>0</v>
      </c>
    </row>
    <row r="58" spans="1:15" hidden="1" x14ac:dyDescent="0.25">
      <c r="A58">
        <v>57</v>
      </c>
      <c r="B58" t="s">
        <v>73</v>
      </c>
      <c r="C58" t="s">
        <v>27</v>
      </c>
      <c r="D58">
        <v>93200</v>
      </c>
      <c r="E58" t="s">
        <v>8</v>
      </c>
      <c r="F58" t="s">
        <v>9</v>
      </c>
      <c r="O58">
        <f t="shared" si="6"/>
        <v>0</v>
      </c>
    </row>
    <row r="59" spans="1:15" hidden="1" x14ac:dyDescent="0.25">
      <c r="A59">
        <v>58</v>
      </c>
      <c r="B59" t="s">
        <v>74</v>
      </c>
      <c r="C59" t="s">
        <v>29</v>
      </c>
      <c r="D59">
        <v>24100</v>
      </c>
      <c r="E59" t="s">
        <v>8</v>
      </c>
      <c r="F59" t="s">
        <v>9</v>
      </c>
      <c r="O59">
        <f t="shared" si="6"/>
        <v>0</v>
      </c>
    </row>
    <row r="60" spans="1:15" hidden="1" x14ac:dyDescent="0.25">
      <c r="A60">
        <v>59</v>
      </c>
      <c r="B60" t="s">
        <v>75</v>
      </c>
      <c r="C60" t="s">
        <v>31</v>
      </c>
      <c r="D60">
        <v>108600</v>
      </c>
      <c r="E60" t="s">
        <v>8</v>
      </c>
      <c r="F60" t="s">
        <v>9</v>
      </c>
      <c r="O60">
        <f t="shared" si="6"/>
        <v>0</v>
      </c>
    </row>
    <row r="61" spans="1:15" hidden="1" x14ac:dyDescent="0.25">
      <c r="A61">
        <v>60</v>
      </c>
      <c r="B61" t="s">
        <v>76</v>
      </c>
      <c r="C61" t="s">
        <v>33</v>
      </c>
      <c r="D61">
        <v>5000</v>
      </c>
      <c r="E61" t="s">
        <v>8</v>
      </c>
      <c r="F61" t="s">
        <v>9</v>
      </c>
      <c r="O61">
        <f t="shared" si="6"/>
        <v>0</v>
      </c>
    </row>
    <row r="62" spans="1:15" hidden="1" x14ac:dyDescent="0.25">
      <c r="A62">
        <v>61</v>
      </c>
      <c r="B62" t="s">
        <v>77</v>
      </c>
      <c r="C62" t="s">
        <v>7</v>
      </c>
      <c r="D62">
        <v>28100</v>
      </c>
      <c r="E62" t="s">
        <v>23</v>
      </c>
      <c r="F62" t="s">
        <v>9</v>
      </c>
      <c r="O62">
        <f t="shared" si="6"/>
        <v>0</v>
      </c>
    </row>
    <row r="63" spans="1:15" hidden="1" x14ac:dyDescent="0.25">
      <c r="A63">
        <v>62</v>
      </c>
      <c r="B63" t="s">
        <v>78</v>
      </c>
      <c r="C63" t="s">
        <v>11</v>
      </c>
      <c r="D63">
        <v>190900</v>
      </c>
      <c r="E63" t="s">
        <v>8</v>
      </c>
      <c r="F63" t="s">
        <v>9</v>
      </c>
      <c r="O63">
        <f t="shared" si="6"/>
        <v>0</v>
      </c>
    </row>
    <row r="64" spans="1:15" hidden="1" x14ac:dyDescent="0.25">
      <c r="A64">
        <v>63</v>
      </c>
      <c r="B64" t="s">
        <v>49</v>
      </c>
      <c r="C64" t="s">
        <v>13</v>
      </c>
      <c r="D64">
        <v>36700</v>
      </c>
      <c r="E64" t="s">
        <v>38</v>
      </c>
      <c r="F64" t="s">
        <v>20</v>
      </c>
      <c r="O64">
        <f t="shared" si="6"/>
        <v>0</v>
      </c>
    </row>
    <row r="65" spans="1:15" hidden="1" x14ac:dyDescent="0.25">
      <c r="A65">
        <v>64</v>
      </c>
      <c r="B65" t="s">
        <v>79</v>
      </c>
      <c r="C65" t="s">
        <v>15</v>
      </c>
      <c r="D65">
        <v>26400</v>
      </c>
      <c r="E65" t="s">
        <v>8</v>
      </c>
      <c r="F65" t="s">
        <v>9</v>
      </c>
      <c r="O65">
        <f t="shared" si="6"/>
        <v>0</v>
      </c>
    </row>
    <row r="66" spans="1:15" hidden="1" x14ac:dyDescent="0.25">
      <c r="A66">
        <v>65</v>
      </c>
      <c r="B66" t="s">
        <v>80</v>
      </c>
      <c r="C66" t="s">
        <v>17</v>
      </c>
      <c r="D66">
        <v>155800</v>
      </c>
      <c r="E66" t="s">
        <v>8</v>
      </c>
      <c r="F66" t="s">
        <v>9</v>
      </c>
      <c r="O66">
        <f t="shared" si="6"/>
        <v>0</v>
      </c>
    </row>
    <row r="67" spans="1:15" hidden="1" x14ac:dyDescent="0.25">
      <c r="A67">
        <v>66</v>
      </c>
      <c r="B67" t="s">
        <v>81</v>
      </c>
      <c r="C67" t="s">
        <v>19</v>
      </c>
      <c r="D67">
        <v>25200</v>
      </c>
      <c r="E67" t="s">
        <v>8</v>
      </c>
      <c r="F67" t="s">
        <v>9</v>
      </c>
      <c r="O67">
        <f t="shared" si="6"/>
        <v>0</v>
      </c>
    </row>
    <row r="68" spans="1:15" hidden="1" x14ac:dyDescent="0.25">
      <c r="A68">
        <v>67</v>
      </c>
      <c r="B68" t="s">
        <v>82</v>
      </c>
      <c r="C68" t="s">
        <v>22</v>
      </c>
      <c r="D68">
        <v>19800</v>
      </c>
      <c r="E68" t="s">
        <v>8</v>
      </c>
      <c r="F68" t="s">
        <v>9</v>
      </c>
      <c r="O68">
        <f t="shared" si="6"/>
        <v>0</v>
      </c>
    </row>
    <row r="69" spans="1:15" hidden="1" x14ac:dyDescent="0.25">
      <c r="A69">
        <v>68</v>
      </c>
      <c r="B69" t="s">
        <v>83</v>
      </c>
      <c r="C69" t="s">
        <v>25</v>
      </c>
      <c r="D69">
        <v>50900</v>
      </c>
      <c r="E69" t="s">
        <v>8</v>
      </c>
      <c r="F69" t="s">
        <v>9</v>
      </c>
      <c r="O69">
        <f t="shared" ref="O69:O132" si="7">N69*N69</f>
        <v>0</v>
      </c>
    </row>
    <row r="70" spans="1:15" hidden="1" x14ac:dyDescent="0.25">
      <c r="A70">
        <v>69</v>
      </c>
      <c r="B70" t="s">
        <v>84</v>
      </c>
      <c r="C70" t="s">
        <v>27</v>
      </c>
      <c r="D70">
        <v>51800</v>
      </c>
      <c r="E70" t="s">
        <v>8</v>
      </c>
      <c r="F70" t="s">
        <v>9</v>
      </c>
      <c r="O70">
        <f t="shared" si="7"/>
        <v>0</v>
      </c>
    </row>
    <row r="71" spans="1:15" hidden="1" x14ac:dyDescent="0.25">
      <c r="A71">
        <v>70</v>
      </c>
      <c r="B71" t="s">
        <v>12</v>
      </c>
      <c r="C71" t="s">
        <v>29</v>
      </c>
      <c r="D71">
        <v>49900</v>
      </c>
      <c r="E71" t="s">
        <v>8</v>
      </c>
      <c r="F71" t="s">
        <v>9</v>
      </c>
      <c r="O71">
        <f t="shared" si="7"/>
        <v>0</v>
      </c>
    </row>
    <row r="72" spans="1:15" hidden="1" x14ac:dyDescent="0.25">
      <c r="A72">
        <v>71</v>
      </c>
      <c r="B72" t="s">
        <v>85</v>
      </c>
      <c r="C72" t="s">
        <v>31</v>
      </c>
      <c r="D72">
        <v>19000</v>
      </c>
      <c r="E72" t="s">
        <v>8</v>
      </c>
      <c r="F72" t="s">
        <v>9</v>
      </c>
      <c r="O72">
        <f t="shared" si="7"/>
        <v>0</v>
      </c>
    </row>
    <row r="73" spans="1:15" hidden="1" x14ac:dyDescent="0.25">
      <c r="A73">
        <v>72</v>
      </c>
      <c r="B73" t="s">
        <v>86</v>
      </c>
      <c r="C73" t="s">
        <v>33</v>
      </c>
      <c r="D73">
        <v>23500</v>
      </c>
      <c r="E73" t="s">
        <v>8</v>
      </c>
      <c r="F73" t="s">
        <v>9</v>
      </c>
      <c r="O73">
        <f t="shared" si="7"/>
        <v>0</v>
      </c>
    </row>
    <row r="74" spans="1:15" hidden="1" x14ac:dyDescent="0.25">
      <c r="A74">
        <v>73</v>
      </c>
      <c r="B74" t="s">
        <v>87</v>
      </c>
      <c r="C74" t="s">
        <v>7</v>
      </c>
      <c r="D74">
        <v>24100</v>
      </c>
      <c r="E74" t="s">
        <v>38</v>
      </c>
      <c r="F74" t="s">
        <v>20</v>
      </c>
      <c r="O74">
        <f t="shared" si="7"/>
        <v>0</v>
      </c>
    </row>
    <row r="75" spans="1:15" hidden="1" x14ac:dyDescent="0.25">
      <c r="A75">
        <v>74</v>
      </c>
      <c r="B75" t="s">
        <v>88</v>
      </c>
      <c r="C75" t="s">
        <v>11</v>
      </c>
      <c r="D75">
        <v>84400</v>
      </c>
      <c r="E75" t="s">
        <v>8</v>
      </c>
      <c r="F75" t="s">
        <v>9</v>
      </c>
      <c r="O75">
        <f t="shared" si="7"/>
        <v>0</v>
      </c>
    </row>
    <row r="76" spans="1:15" hidden="1" x14ac:dyDescent="0.25">
      <c r="A76">
        <v>75</v>
      </c>
      <c r="B76" t="s">
        <v>89</v>
      </c>
      <c r="C76" t="s">
        <v>13</v>
      </c>
      <c r="D76">
        <v>19900</v>
      </c>
      <c r="E76" t="s">
        <v>38</v>
      </c>
      <c r="F76" t="s">
        <v>9</v>
      </c>
      <c r="O76">
        <f t="shared" si="7"/>
        <v>0</v>
      </c>
    </row>
    <row r="77" spans="1:15" hidden="1" x14ac:dyDescent="0.25">
      <c r="A77">
        <v>76</v>
      </c>
      <c r="B77" t="s">
        <v>66</v>
      </c>
      <c r="C77" t="s">
        <v>15</v>
      </c>
      <c r="D77">
        <v>30800</v>
      </c>
      <c r="E77" t="s">
        <v>38</v>
      </c>
      <c r="F77" t="s">
        <v>9</v>
      </c>
      <c r="O77">
        <f t="shared" si="7"/>
        <v>0</v>
      </c>
    </row>
    <row r="78" spans="1:15" hidden="1" x14ac:dyDescent="0.25">
      <c r="A78">
        <v>77</v>
      </c>
      <c r="B78" t="s">
        <v>90</v>
      </c>
      <c r="C78" t="s">
        <v>17</v>
      </c>
      <c r="D78">
        <v>35200</v>
      </c>
      <c r="E78" t="s">
        <v>8</v>
      </c>
      <c r="F78" t="s">
        <v>9</v>
      </c>
      <c r="O78">
        <f t="shared" si="7"/>
        <v>0</v>
      </c>
    </row>
    <row r="79" spans="1:15" hidden="1" x14ac:dyDescent="0.25">
      <c r="A79">
        <v>78</v>
      </c>
      <c r="B79" t="s">
        <v>36</v>
      </c>
      <c r="C79" t="s">
        <v>19</v>
      </c>
      <c r="D79">
        <v>39100</v>
      </c>
      <c r="E79" t="s">
        <v>38</v>
      </c>
      <c r="F79" t="s">
        <v>20</v>
      </c>
      <c r="O79">
        <f t="shared" si="7"/>
        <v>0</v>
      </c>
    </row>
    <row r="80" spans="1:15" hidden="1" x14ac:dyDescent="0.25">
      <c r="A80">
        <v>79</v>
      </c>
      <c r="B80" t="s">
        <v>91</v>
      </c>
      <c r="C80" t="s">
        <v>22</v>
      </c>
      <c r="D80">
        <v>43500</v>
      </c>
      <c r="E80" t="s">
        <v>8</v>
      </c>
      <c r="F80" t="s">
        <v>9</v>
      </c>
      <c r="O80">
        <f t="shared" si="7"/>
        <v>0</v>
      </c>
    </row>
    <row r="81" spans="1:15" hidden="1" x14ac:dyDescent="0.25">
      <c r="A81">
        <v>80</v>
      </c>
      <c r="B81" t="s">
        <v>92</v>
      </c>
      <c r="C81" t="s">
        <v>25</v>
      </c>
      <c r="D81">
        <v>39100</v>
      </c>
      <c r="E81" t="s">
        <v>8</v>
      </c>
      <c r="F81" t="s">
        <v>9</v>
      </c>
      <c r="O81">
        <f t="shared" si="7"/>
        <v>0</v>
      </c>
    </row>
    <row r="82" spans="1:15" hidden="1" x14ac:dyDescent="0.25">
      <c r="A82">
        <v>81</v>
      </c>
      <c r="B82" t="s">
        <v>93</v>
      </c>
      <c r="C82" t="s">
        <v>27</v>
      </c>
      <c r="D82">
        <v>68100</v>
      </c>
      <c r="E82" t="s">
        <v>8</v>
      </c>
      <c r="F82" t="s">
        <v>9</v>
      </c>
      <c r="O82">
        <f t="shared" si="7"/>
        <v>0</v>
      </c>
    </row>
    <row r="83" spans="1:15" hidden="1" x14ac:dyDescent="0.25">
      <c r="A83">
        <v>82</v>
      </c>
      <c r="B83" t="s">
        <v>76</v>
      </c>
      <c r="C83" t="s">
        <v>29</v>
      </c>
      <c r="D83">
        <v>12200</v>
      </c>
      <c r="E83" t="s">
        <v>8</v>
      </c>
      <c r="F83" t="s">
        <v>9</v>
      </c>
      <c r="O83">
        <f t="shared" si="7"/>
        <v>0</v>
      </c>
    </row>
    <row r="84" spans="1:15" hidden="1" x14ac:dyDescent="0.25">
      <c r="A84">
        <v>83</v>
      </c>
      <c r="B84" t="s">
        <v>94</v>
      </c>
      <c r="C84" t="s">
        <v>31</v>
      </c>
      <c r="D84">
        <v>28600</v>
      </c>
      <c r="E84" t="s">
        <v>8</v>
      </c>
      <c r="F84" t="s">
        <v>9</v>
      </c>
      <c r="O84">
        <f t="shared" si="7"/>
        <v>0</v>
      </c>
    </row>
    <row r="85" spans="1:15" hidden="1" x14ac:dyDescent="0.25">
      <c r="A85">
        <v>84</v>
      </c>
      <c r="B85" t="s">
        <v>95</v>
      </c>
      <c r="C85" t="s">
        <v>33</v>
      </c>
      <c r="D85">
        <v>96300</v>
      </c>
      <c r="E85" t="s">
        <v>8</v>
      </c>
      <c r="F85" t="s">
        <v>9</v>
      </c>
      <c r="O85">
        <f t="shared" si="7"/>
        <v>0</v>
      </c>
    </row>
    <row r="86" spans="1:15" hidden="1" x14ac:dyDescent="0.25">
      <c r="A86">
        <v>85</v>
      </c>
      <c r="B86" t="s">
        <v>96</v>
      </c>
      <c r="C86" t="s">
        <v>7</v>
      </c>
      <c r="D86">
        <v>52700</v>
      </c>
      <c r="E86" t="s">
        <v>8</v>
      </c>
      <c r="F86" t="s">
        <v>9</v>
      </c>
      <c r="O86">
        <f t="shared" si="7"/>
        <v>0</v>
      </c>
    </row>
    <row r="87" spans="1:15" hidden="1" x14ac:dyDescent="0.25">
      <c r="A87">
        <v>86</v>
      </c>
      <c r="B87" t="s">
        <v>97</v>
      </c>
      <c r="C87" t="s">
        <v>11</v>
      </c>
      <c r="D87">
        <v>57200</v>
      </c>
      <c r="E87" t="s">
        <v>8</v>
      </c>
      <c r="F87" t="s">
        <v>9</v>
      </c>
      <c r="O87">
        <f t="shared" si="7"/>
        <v>0</v>
      </c>
    </row>
    <row r="88" spans="1:15" hidden="1" x14ac:dyDescent="0.25">
      <c r="A88">
        <v>87</v>
      </c>
      <c r="B88" t="s">
        <v>98</v>
      </c>
      <c r="C88" t="s">
        <v>13</v>
      </c>
      <c r="D88">
        <v>30900</v>
      </c>
      <c r="E88" t="s">
        <v>8</v>
      </c>
      <c r="F88" t="s">
        <v>9</v>
      </c>
      <c r="O88">
        <f t="shared" si="7"/>
        <v>0</v>
      </c>
    </row>
    <row r="89" spans="1:15" hidden="1" x14ac:dyDescent="0.25">
      <c r="A89">
        <v>88</v>
      </c>
      <c r="B89" t="s">
        <v>99</v>
      </c>
      <c r="C89" t="s">
        <v>15</v>
      </c>
      <c r="D89">
        <v>35000</v>
      </c>
      <c r="E89" t="s">
        <v>8</v>
      </c>
      <c r="F89" t="s">
        <v>9</v>
      </c>
      <c r="O89">
        <f t="shared" si="7"/>
        <v>0</v>
      </c>
    </row>
    <row r="90" spans="1:15" hidden="1" x14ac:dyDescent="0.25">
      <c r="A90">
        <v>89</v>
      </c>
      <c r="B90" t="s">
        <v>100</v>
      </c>
      <c r="C90" t="s">
        <v>17</v>
      </c>
      <c r="D90">
        <v>47600</v>
      </c>
      <c r="E90" t="s">
        <v>23</v>
      </c>
      <c r="F90" t="s">
        <v>9</v>
      </c>
      <c r="O90">
        <f t="shared" si="7"/>
        <v>0</v>
      </c>
    </row>
    <row r="91" spans="1:15" hidden="1" x14ac:dyDescent="0.25">
      <c r="A91">
        <v>90</v>
      </c>
      <c r="B91" t="s">
        <v>101</v>
      </c>
      <c r="C91" t="s">
        <v>19</v>
      </c>
      <c r="D91">
        <v>156700</v>
      </c>
      <c r="E91" t="s">
        <v>8</v>
      </c>
      <c r="F91" t="s">
        <v>9</v>
      </c>
      <c r="O91">
        <f t="shared" si="7"/>
        <v>0</v>
      </c>
    </row>
    <row r="92" spans="1:15" hidden="1" x14ac:dyDescent="0.25">
      <c r="A92">
        <v>91</v>
      </c>
      <c r="B92" t="s">
        <v>34</v>
      </c>
      <c r="C92" t="s">
        <v>22</v>
      </c>
      <c r="D92">
        <v>21700</v>
      </c>
      <c r="E92" t="s">
        <v>8</v>
      </c>
      <c r="F92" t="s">
        <v>9</v>
      </c>
      <c r="O92">
        <f t="shared" si="7"/>
        <v>0</v>
      </c>
    </row>
    <row r="93" spans="1:15" hidden="1" x14ac:dyDescent="0.25">
      <c r="A93">
        <v>92</v>
      </c>
      <c r="B93" t="s">
        <v>102</v>
      </c>
      <c r="C93" t="s">
        <v>25</v>
      </c>
      <c r="D93">
        <v>106600</v>
      </c>
      <c r="E93" t="s">
        <v>8</v>
      </c>
      <c r="F93" t="s">
        <v>20</v>
      </c>
      <c r="O93">
        <f t="shared" si="7"/>
        <v>0</v>
      </c>
    </row>
    <row r="94" spans="1:15" hidden="1" x14ac:dyDescent="0.25">
      <c r="A94">
        <v>93</v>
      </c>
      <c r="B94" t="s">
        <v>65</v>
      </c>
      <c r="C94" t="s">
        <v>27</v>
      </c>
      <c r="D94">
        <v>11800</v>
      </c>
      <c r="E94" t="s">
        <v>8</v>
      </c>
      <c r="F94" t="s">
        <v>9</v>
      </c>
      <c r="O94">
        <f t="shared" si="7"/>
        <v>0</v>
      </c>
    </row>
    <row r="95" spans="1:15" hidden="1" x14ac:dyDescent="0.25">
      <c r="A95">
        <v>94</v>
      </c>
      <c r="B95" t="s">
        <v>103</v>
      </c>
      <c r="C95" t="s">
        <v>29</v>
      </c>
      <c r="D95">
        <v>21500</v>
      </c>
      <c r="E95" t="s">
        <v>23</v>
      </c>
      <c r="F95" t="s">
        <v>9</v>
      </c>
      <c r="O95">
        <f t="shared" si="7"/>
        <v>0</v>
      </c>
    </row>
    <row r="96" spans="1:15" hidden="1" x14ac:dyDescent="0.25">
      <c r="A96">
        <v>95</v>
      </c>
      <c r="B96" t="s">
        <v>104</v>
      </c>
      <c r="C96" t="s">
        <v>31</v>
      </c>
      <c r="D96">
        <v>49500</v>
      </c>
      <c r="E96" t="s">
        <v>8</v>
      </c>
      <c r="F96" t="s">
        <v>9</v>
      </c>
      <c r="O96">
        <f t="shared" si="7"/>
        <v>0</v>
      </c>
    </row>
    <row r="97" spans="1:15" hidden="1" x14ac:dyDescent="0.25">
      <c r="A97">
        <v>96</v>
      </c>
      <c r="B97" t="s">
        <v>105</v>
      </c>
      <c r="C97" t="s">
        <v>33</v>
      </c>
      <c r="D97">
        <v>39100</v>
      </c>
      <c r="E97" t="s">
        <v>38</v>
      </c>
      <c r="F97" t="s">
        <v>20</v>
      </c>
      <c r="O97">
        <f t="shared" si="7"/>
        <v>0</v>
      </c>
    </row>
    <row r="98" spans="1:15" hidden="1" x14ac:dyDescent="0.25">
      <c r="A98">
        <v>97</v>
      </c>
      <c r="B98" t="s">
        <v>106</v>
      </c>
      <c r="C98" t="s">
        <v>7</v>
      </c>
      <c r="D98">
        <v>17700</v>
      </c>
      <c r="E98" t="s">
        <v>8</v>
      </c>
      <c r="F98" t="s">
        <v>9</v>
      </c>
      <c r="O98">
        <f t="shared" si="7"/>
        <v>0</v>
      </c>
    </row>
    <row r="99" spans="1:15" hidden="1" x14ac:dyDescent="0.25">
      <c r="A99">
        <v>98</v>
      </c>
      <c r="B99" t="s">
        <v>89</v>
      </c>
      <c r="C99" t="s">
        <v>11</v>
      </c>
      <c r="D99">
        <v>40500</v>
      </c>
      <c r="E99" t="s">
        <v>8</v>
      </c>
      <c r="F99" t="s">
        <v>9</v>
      </c>
      <c r="O99">
        <f t="shared" si="7"/>
        <v>0</v>
      </c>
    </row>
    <row r="100" spans="1:15" hidden="1" x14ac:dyDescent="0.25">
      <c r="A100">
        <v>99</v>
      </c>
      <c r="B100" t="s">
        <v>107</v>
      </c>
      <c r="C100" t="s">
        <v>13</v>
      </c>
      <c r="D100">
        <v>129700</v>
      </c>
      <c r="E100" t="s">
        <v>8</v>
      </c>
      <c r="F100" t="s">
        <v>9</v>
      </c>
      <c r="O100">
        <f t="shared" si="7"/>
        <v>0</v>
      </c>
    </row>
    <row r="101" spans="1:15" hidden="1" x14ac:dyDescent="0.25">
      <c r="A101">
        <v>100</v>
      </c>
      <c r="B101" t="s">
        <v>108</v>
      </c>
      <c r="C101" t="s">
        <v>15</v>
      </c>
      <c r="D101">
        <v>15500</v>
      </c>
      <c r="E101" t="s">
        <v>8</v>
      </c>
      <c r="F101" t="s">
        <v>9</v>
      </c>
      <c r="O101">
        <f t="shared" si="7"/>
        <v>0</v>
      </c>
    </row>
    <row r="102" spans="1:15" hidden="1" x14ac:dyDescent="0.25">
      <c r="A102">
        <v>101</v>
      </c>
      <c r="B102" t="s">
        <v>109</v>
      </c>
      <c r="C102" t="s">
        <v>17</v>
      </c>
      <c r="D102">
        <v>13500</v>
      </c>
      <c r="E102" t="s">
        <v>38</v>
      </c>
      <c r="F102" t="s">
        <v>9</v>
      </c>
      <c r="O102">
        <f t="shared" si="7"/>
        <v>0</v>
      </c>
    </row>
    <row r="103" spans="1:15" hidden="1" x14ac:dyDescent="0.25">
      <c r="A103">
        <v>102</v>
      </c>
      <c r="B103" t="s">
        <v>110</v>
      </c>
      <c r="C103" t="s">
        <v>19</v>
      </c>
      <c r="D103">
        <v>19300</v>
      </c>
      <c r="E103" t="s">
        <v>8</v>
      </c>
      <c r="F103" t="s">
        <v>9</v>
      </c>
      <c r="O103">
        <f t="shared" si="7"/>
        <v>0</v>
      </c>
    </row>
    <row r="104" spans="1:15" hidden="1" x14ac:dyDescent="0.25">
      <c r="A104">
        <v>103</v>
      </c>
      <c r="B104" t="s">
        <v>30</v>
      </c>
      <c r="C104" t="s">
        <v>22</v>
      </c>
      <c r="D104">
        <v>49200</v>
      </c>
      <c r="E104" t="s">
        <v>8</v>
      </c>
      <c r="F104" t="s">
        <v>9</v>
      </c>
      <c r="O104">
        <f t="shared" si="7"/>
        <v>0</v>
      </c>
    </row>
    <row r="105" spans="1:15" hidden="1" x14ac:dyDescent="0.25">
      <c r="A105">
        <v>104</v>
      </c>
      <c r="B105" t="s">
        <v>111</v>
      </c>
      <c r="C105" t="s">
        <v>25</v>
      </c>
      <c r="D105">
        <v>69700</v>
      </c>
      <c r="E105" t="s">
        <v>8</v>
      </c>
      <c r="F105" t="s">
        <v>9</v>
      </c>
      <c r="O105">
        <f t="shared" si="7"/>
        <v>0</v>
      </c>
    </row>
    <row r="106" spans="1:15" hidden="1" x14ac:dyDescent="0.25">
      <c r="A106">
        <v>105</v>
      </c>
      <c r="B106" t="s">
        <v>112</v>
      </c>
      <c r="C106" t="s">
        <v>27</v>
      </c>
      <c r="D106">
        <v>68300</v>
      </c>
      <c r="E106" t="s">
        <v>23</v>
      </c>
      <c r="F106" t="s">
        <v>9</v>
      </c>
      <c r="O106">
        <f t="shared" si="7"/>
        <v>0</v>
      </c>
    </row>
    <row r="107" spans="1:15" hidden="1" x14ac:dyDescent="0.25">
      <c r="A107">
        <v>106</v>
      </c>
      <c r="B107" t="s">
        <v>113</v>
      </c>
      <c r="C107" t="s">
        <v>29</v>
      </c>
      <c r="D107">
        <v>79000</v>
      </c>
      <c r="E107" t="s">
        <v>38</v>
      </c>
      <c r="F107" t="s">
        <v>20</v>
      </c>
      <c r="O107">
        <f t="shared" si="7"/>
        <v>0</v>
      </c>
    </row>
    <row r="108" spans="1:15" hidden="1" x14ac:dyDescent="0.25">
      <c r="A108">
        <v>107</v>
      </c>
      <c r="B108" t="s">
        <v>114</v>
      </c>
      <c r="C108" t="s">
        <v>31</v>
      </c>
      <c r="D108">
        <v>99700</v>
      </c>
      <c r="E108" t="s">
        <v>8</v>
      </c>
      <c r="F108" t="s">
        <v>9</v>
      </c>
      <c r="O108">
        <f t="shared" si="7"/>
        <v>0</v>
      </c>
    </row>
    <row r="109" spans="1:15" hidden="1" x14ac:dyDescent="0.25">
      <c r="A109">
        <v>108</v>
      </c>
      <c r="B109" t="s">
        <v>115</v>
      </c>
      <c r="C109" t="s">
        <v>33</v>
      </c>
      <c r="D109">
        <v>20900</v>
      </c>
      <c r="E109" t="s">
        <v>23</v>
      </c>
      <c r="F109" t="s">
        <v>9</v>
      </c>
      <c r="O109">
        <f t="shared" si="7"/>
        <v>0</v>
      </c>
    </row>
    <row r="110" spans="1:15" hidden="1" x14ac:dyDescent="0.25">
      <c r="A110">
        <v>109</v>
      </c>
      <c r="B110" t="s">
        <v>116</v>
      </c>
      <c r="C110" t="s">
        <v>7</v>
      </c>
      <c r="D110">
        <v>55700</v>
      </c>
      <c r="E110" t="s">
        <v>38</v>
      </c>
      <c r="F110" t="s">
        <v>20</v>
      </c>
      <c r="O110">
        <f t="shared" si="7"/>
        <v>0</v>
      </c>
    </row>
    <row r="111" spans="1:15" hidden="1" x14ac:dyDescent="0.25">
      <c r="A111">
        <v>110</v>
      </c>
      <c r="B111" t="s">
        <v>117</v>
      </c>
      <c r="C111" t="s">
        <v>11</v>
      </c>
      <c r="D111">
        <v>221100</v>
      </c>
      <c r="E111" t="s">
        <v>8</v>
      </c>
      <c r="F111" t="s">
        <v>9</v>
      </c>
      <c r="O111">
        <f t="shared" si="7"/>
        <v>0</v>
      </c>
    </row>
    <row r="112" spans="1:15" hidden="1" x14ac:dyDescent="0.25">
      <c r="A112">
        <v>111</v>
      </c>
      <c r="B112" t="s">
        <v>118</v>
      </c>
      <c r="C112" t="s">
        <v>13</v>
      </c>
      <c r="D112">
        <v>62500</v>
      </c>
      <c r="E112" t="s">
        <v>23</v>
      </c>
      <c r="F112" t="s">
        <v>20</v>
      </c>
      <c r="O112">
        <f t="shared" si="7"/>
        <v>0</v>
      </c>
    </row>
    <row r="113" spans="1:15" x14ac:dyDescent="0.25">
      <c r="A113">
        <v>112</v>
      </c>
      <c r="B113" t="s">
        <v>98</v>
      </c>
      <c r="C113" t="s">
        <v>15</v>
      </c>
      <c r="D113">
        <v>396200</v>
      </c>
      <c r="E113" t="s">
        <v>8</v>
      </c>
      <c r="F113" t="s">
        <v>9</v>
      </c>
      <c r="O113">
        <f t="shared" si="7"/>
        <v>0</v>
      </c>
    </row>
    <row r="114" spans="1:15" hidden="1" x14ac:dyDescent="0.25">
      <c r="A114">
        <v>113</v>
      </c>
      <c r="B114" t="s">
        <v>105</v>
      </c>
      <c r="C114" t="s">
        <v>17</v>
      </c>
      <c r="D114">
        <v>78100</v>
      </c>
      <c r="E114" t="s">
        <v>38</v>
      </c>
      <c r="F114" t="s">
        <v>20</v>
      </c>
      <c r="O114">
        <f t="shared" si="7"/>
        <v>0</v>
      </c>
    </row>
    <row r="115" spans="1:15" hidden="1" x14ac:dyDescent="0.25">
      <c r="A115">
        <v>114</v>
      </c>
      <c r="B115" t="s">
        <v>119</v>
      </c>
      <c r="C115" t="s">
        <v>19</v>
      </c>
      <c r="D115">
        <v>21700</v>
      </c>
      <c r="E115" t="s">
        <v>8</v>
      </c>
      <c r="F115" t="s">
        <v>20</v>
      </c>
      <c r="O115">
        <f t="shared" si="7"/>
        <v>0</v>
      </c>
    </row>
    <row r="116" spans="1:15" hidden="1" x14ac:dyDescent="0.25">
      <c r="A116">
        <v>115</v>
      </c>
      <c r="B116" t="s">
        <v>24</v>
      </c>
      <c r="C116" t="s">
        <v>22</v>
      </c>
      <c r="D116">
        <v>18600</v>
      </c>
      <c r="E116" t="s">
        <v>23</v>
      </c>
      <c r="F116" t="s">
        <v>9</v>
      </c>
      <c r="O116">
        <f t="shared" si="7"/>
        <v>0</v>
      </c>
    </row>
    <row r="117" spans="1:15" hidden="1" x14ac:dyDescent="0.25">
      <c r="A117">
        <v>116</v>
      </c>
      <c r="B117" t="s">
        <v>120</v>
      </c>
      <c r="C117" t="s">
        <v>25</v>
      </c>
      <c r="D117">
        <v>40400</v>
      </c>
      <c r="E117" t="s">
        <v>38</v>
      </c>
      <c r="F117" t="s">
        <v>9</v>
      </c>
      <c r="O117">
        <f t="shared" si="7"/>
        <v>0</v>
      </c>
    </row>
    <row r="118" spans="1:15" hidden="1" x14ac:dyDescent="0.25">
      <c r="A118">
        <v>117</v>
      </c>
      <c r="B118" t="s">
        <v>71</v>
      </c>
      <c r="C118" t="s">
        <v>27</v>
      </c>
      <c r="D118">
        <v>10700</v>
      </c>
      <c r="E118" t="s">
        <v>8</v>
      </c>
      <c r="F118" t="s">
        <v>20</v>
      </c>
      <c r="O118">
        <f t="shared" si="7"/>
        <v>0</v>
      </c>
    </row>
    <row r="119" spans="1:15" hidden="1" x14ac:dyDescent="0.25">
      <c r="A119">
        <v>118</v>
      </c>
      <c r="B119" t="s">
        <v>121</v>
      </c>
      <c r="C119" t="s">
        <v>29</v>
      </c>
      <c r="D119">
        <v>7600</v>
      </c>
      <c r="E119" t="s">
        <v>8</v>
      </c>
      <c r="F119" t="s">
        <v>9</v>
      </c>
      <c r="O119">
        <f t="shared" si="7"/>
        <v>0</v>
      </c>
    </row>
    <row r="120" spans="1:15" hidden="1" x14ac:dyDescent="0.25">
      <c r="A120">
        <v>119</v>
      </c>
      <c r="B120" t="s">
        <v>122</v>
      </c>
      <c r="C120" t="s">
        <v>31</v>
      </c>
      <c r="D120">
        <v>9500</v>
      </c>
      <c r="E120" t="s">
        <v>8</v>
      </c>
      <c r="F120" t="s">
        <v>9</v>
      </c>
      <c r="O120">
        <f t="shared" si="7"/>
        <v>0</v>
      </c>
    </row>
    <row r="121" spans="1:15" hidden="1" x14ac:dyDescent="0.25">
      <c r="A121">
        <v>120</v>
      </c>
      <c r="B121" t="s">
        <v>123</v>
      </c>
      <c r="C121" t="s">
        <v>33</v>
      </c>
      <c r="D121">
        <v>55900</v>
      </c>
      <c r="E121" t="s">
        <v>23</v>
      </c>
      <c r="F121" t="s">
        <v>9</v>
      </c>
      <c r="O121">
        <f t="shared" si="7"/>
        <v>0</v>
      </c>
    </row>
    <row r="122" spans="1:15" hidden="1" x14ac:dyDescent="0.25">
      <c r="A122">
        <v>121</v>
      </c>
      <c r="B122" t="s">
        <v>124</v>
      </c>
      <c r="C122" t="s">
        <v>7</v>
      </c>
      <c r="D122">
        <v>8100</v>
      </c>
      <c r="E122" t="s">
        <v>8</v>
      </c>
      <c r="F122" t="s">
        <v>20</v>
      </c>
      <c r="O122">
        <f t="shared" si="7"/>
        <v>0</v>
      </c>
    </row>
    <row r="123" spans="1:15" hidden="1" x14ac:dyDescent="0.25">
      <c r="A123">
        <v>122</v>
      </c>
      <c r="B123" t="s">
        <v>125</v>
      </c>
      <c r="C123" t="s">
        <v>11</v>
      </c>
      <c r="D123">
        <v>35700</v>
      </c>
      <c r="E123" t="s">
        <v>38</v>
      </c>
      <c r="F123" t="s">
        <v>20</v>
      </c>
      <c r="O123">
        <f t="shared" si="7"/>
        <v>0</v>
      </c>
    </row>
    <row r="124" spans="1:15" hidden="1" x14ac:dyDescent="0.25">
      <c r="A124">
        <v>123</v>
      </c>
      <c r="B124" t="s">
        <v>126</v>
      </c>
      <c r="C124" t="s">
        <v>13</v>
      </c>
      <c r="D124">
        <v>146900</v>
      </c>
      <c r="E124" t="s">
        <v>8</v>
      </c>
      <c r="F124" t="s">
        <v>9</v>
      </c>
      <c r="O124">
        <f t="shared" si="7"/>
        <v>0</v>
      </c>
    </row>
    <row r="125" spans="1:15" hidden="1" x14ac:dyDescent="0.25">
      <c r="A125">
        <v>124</v>
      </c>
      <c r="B125" t="s">
        <v>34</v>
      </c>
      <c r="C125" t="s">
        <v>15</v>
      </c>
      <c r="D125">
        <v>13000</v>
      </c>
      <c r="E125" t="s">
        <v>8</v>
      </c>
      <c r="F125" t="s">
        <v>9</v>
      </c>
      <c r="O125">
        <f t="shared" si="7"/>
        <v>0</v>
      </c>
    </row>
    <row r="126" spans="1:15" hidden="1" x14ac:dyDescent="0.25">
      <c r="A126">
        <v>125</v>
      </c>
      <c r="B126" t="s">
        <v>127</v>
      </c>
      <c r="C126" t="s">
        <v>17</v>
      </c>
      <c r="D126">
        <v>64300</v>
      </c>
      <c r="E126" t="s">
        <v>8</v>
      </c>
      <c r="F126" t="s">
        <v>9</v>
      </c>
      <c r="O126">
        <f t="shared" si="7"/>
        <v>0</v>
      </c>
    </row>
    <row r="127" spans="1:15" hidden="1" x14ac:dyDescent="0.25">
      <c r="A127">
        <v>126</v>
      </c>
      <c r="B127" t="s">
        <v>128</v>
      </c>
      <c r="C127" t="s">
        <v>19</v>
      </c>
      <c r="D127">
        <v>135000</v>
      </c>
      <c r="E127" t="s">
        <v>23</v>
      </c>
      <c r="F127" t="s">
        <v>9</v>
      </c>
      <c r="O127">
        <f t="shared" si="7"/>
        <v>0</v>
      </c>
    </row>
    <row r="128" spans="1:15" x14ac:dyDescent="0.25">
      <c r="A128">
        <v>127</v>
      </c>
      <c r="B128" t="s">
        <v>112</v>
      </c>
      <c r="C128" t="s">
        <v>13</v>
      </c>
      <c r="D128">
        <v>500000</v>
      </c>
      <c r="E128" t="s">
        <v>8</v>
      </c>
      <c r="F128" t="s">
        <v>9</v>
      </c>
      <c r="O128">
        <f t="shared" si="7"/>
        <v>0</v>
      </c>
    </row>
    <row r="129" spans="1:15" hidden="1" x14ac:dyDescent="0.25">
      <c r="A129">
        <v>128</v>
      </c>
      <c r="B129" t="s">
        <v>129</v>
      </c>
      <c r="C129" t="s">
        <v>25</v>
      </c>
      <c r="D129">
        <v>11200</v>
      </c>
      <c r="E129" t="s">
        <v>23</v>
      </c>
      <c r="F129" t="s">
        <v>20</v>
      </c>
      <c r="O129">
        <f t="shared" si="7"/>
        <v>0</v>
      </c>
    </row>
    <row r="130" spans="1:15" hidden="1" x14ac:dyDescent="0.25">
      <c r="A130">
        <v>129</v>
      </c>
      <c r="B130" t="s">
        <v>130</v>
      </c>
      <c r="C130" t="s">
        <v>27</v>
      </c>
      <c r="D130">
        <v>19700</v>
      </c>
      <c r="E130" t="s">
        <v>8</v>
      </c>
      <c r="F130" t="s">
        <v>9</v>
      </c>
      <c r="O130">
        <f t="shared" si="7"/>
        <v>0</v>
      </c>
    </row>
    <row r="131" spans="1:15" hidden="1" x14ac:dyDescent="0.25">
      <c r="A131">
        <v>130</v>
      </c>
      <c r="B131" t="s">
        <v>131</v>
      </c>
      <c r="C131" t="s">
        <v>29</v>
      </c>
      <c r="D131">
        <v>58900</v>
      </c>
      <c r="E131" t="s">
        <v>8</v>
      </c>
      <c r="F131" t="s">
        <v>9</v>
      </c>
      <c r="O131">
        <f t="shared" si="7"/>
        <v>0</v>
      </c>
    </row>
    <row r="132" spans="1:15" hidden="1" x14ac:dyDescent="0.25">
      <c r="A132">
        <v>131</v>
      </c>
      <c r="B132" t="s">
        <v>132</v>
      </c>
      <c r="C132" t="s">
        <v>31</v>
      </c>
      <c r="D132">
        <v>10300</v>
      </c>
      <c r="E132" t="s">
        <v>23</v>
      </c>
      <c r="F132" t="s">
        <v>9</v>
      </c>
      <c r="O132">
        <f t="shared" si="7"/>
        <v>0</v>
      </c>
    </row>
    <row r="133" spans="1:15" hidden="1" x14ac:dyDescent="0.25">
      <c r="A133">
        <v>132</v>
      </c>
      <c r="B133" t="s">
        <v>133</v>
      </c>
      <c r="C133" t="s">
        <v>33</v>
      </c>
      <c r="D133">
        <v>5000</v>
      </c>
      <c r="E133" t="s">
        <v>8</v>
      </c>
      <c r="F133" t="s">
        <v>9</v>
      </c>
      <c r="O133">
        <f t="shared" ref="O133:O196" si="8">N133*N133</f>
        <v>0</v>
      </c>
    </row>
    <row r="134" spans="1:15" hidden="1" x14ac:dyDescent="0.25">
      <c r="A134">
        <v>133</v>
      </c>
      <c r="B134" t="s">
        <v>134</v>
      </c>
      <c r="C134" t="s">
        <v>7</v>
      </c>
      <c r="D134">
        <v>249500</v>
      </c>
      <c r="E134" t="s">
        <v>8</v>
      </c>
      <c r="F134" t="s">
        <v>9</v>
      </c>
      <c r="O134">
        <f t="shared" si="8"/>
        <v>0</v>
      </c>
    </row>
    <row r="135" spans="1:15" hidden="1" x14ac:dyDescent="0.25">
      <c r="A135">
        <v>134</v>
      </c>
      <c r="B135" t="s">
        <v>135</v>
      </c>
      <c r="C135" t="s">
        <v>11</v>
      </c>
      <c r="D135">
        <v>20600</v>
      </c>
      <c r="E135" t="s">
        <v>8</v>
      </c>
      <c r="F135" t="s">
        <v>9</v>
      </c>
      <c r="O135">
        <f t="shared" si="8"/>
        <v>0</v>
      </c>
    </row>
    <row r="136" spans="1:15" hidden="1" x14ac:dyDescent="0.25">
      <c r="A136">
        <v>135</v>
      </c>
      <c r="B136" t="s">
        <v>136</v>
      </c>
      <c r="C136" t="s">
        <v>13</v>
      </c>
      <c r="D136">
        <v>56700</v>
      </c>
      <c r="E136" t="s">
        <v>8</v>
      </c>
      <c r="F136" t="s">
        <v>9</v>
      </c>
      <c r="O136">
        <f t="shared" si="8"/>
        <v>0</v>
      </c>
    </row>
    <row r="137" spans="1:15" hidden="1" x14ac:dyDescent="0.25">
      <c r="A137">
        <v>136</v>
      </c>
      <c r="B137" t="s">
        <v>85</v>
      </c>
      <c r="C137" t="s">
        <v>15</v>
      </c>
      <c r="D137">
        <v>9500</v>
      </c>
      <c r="E137" t="s">
        <v>23</v>
      </c>
      <c r="F137" t="s">
        <v>9</v>
      </c>
      <c r="O137">
        <f t="shared" si="8"/>
        <v>0</v>
      </c>
    </row>
    <row r="138" spans="1:15" hidden="1" x14ac:dyDescent="0.25">
      <c r="A138">
        <v>137</v>
      </c>
      <c r="B138" t="s">
        <v>137</v>
      </c>
      <c r="C138" t="s">
        <v>17</v>
      </c>
      <c r="D138">
        <v>28900</v>
      </c>
      <c r="E138" t="s">
        <v>23</v>
      </c>
      <c r="F138" t="s">
        <v>9</v>
      </c>
      <c r="O138">
        <f t="shared" si="8"/>
        <v>0</v>
      </c>
    </row>
    <row r="139" spans="1:15" hidden="1" x14ac:dyDescent="0.25">
      <c r="A139">
        <v>138</v>
      </c>
      <c r="B139" t="s">
        <v>138</v>
      </c>
      <c r="C139" t="s">
        <v>19</v>
      </c>
      <c r="D139">
        <v>103700</v>
      </c>
      <c r="E139" t="s">
        <v>8</v>
      </c>
      <c r="F139" t="s">
        <v>20</v>
      </c>
      <c r="O139">
        <f t="shared" si="8"/>
        <v>0</v>
      </c>
    </row>
    <row r="140" spans="1:15" hidden="1" x14ac:dyDescent="0.25">
      <c r="A140">
        <v>139</v>
      </c>
      <c r="B140" t="s">
        <v>139</v>
      </c>
      <c r="C140" t="s">
        <v>22</v>
      </c>
      <c r="D140">
        <v>63400</v>
      </c>
      <c r="E140" t="s">
        <v>8</v>
      </c>
      <c r="F140" t="s">
        <v>9</v>
      </c>
      <c r="O140">
        <f t="shared" si="8"/>
        <v>0</v>
      </c>
    </row>
    <row r="141" spans="1:15" hidden="1" x14ac:dyDescent="0.25">
      <c r="A141">
        <v>140</v>
      </c>
      <c r="B141" t="s">
        <v>80</v>
      </c>
      <c r="C141" t="s">
        <v>25</v>
      </c>
      <c r="D141">
        <v>32900</v>
      </c>
      <c r="E141" t="s">
        <v>8</v>
      </c>
      <c r="F141" t="s">
        <v>9</v>
      </c>
      <c r="O141">
        <f t="shared" si="8"/>
        <v>0</v>
      </c>
    </row>
    <row r="142" spans="1:15" hidden="1" x14ac:dyDescent="0.25">
      <c r="A142">
        <v>141</v>
      </c>
      <c r="B142" t="s">
        <v>140</v>
      </c>
      <c r="C142" t="s">
        <v>27</v>
      </c>
      <c r="D142">
        <v>15400</v>
      </c>
      <c r="E142" t="s">
        <v>8</v>
      </c>
      <c r="F142" t="s">
        <v>9</v>
      </c>
      <c r="O142">
        <f t="shared" si="8"/>
        <v>0</v>
      </c>
    </row>
    <row r="143" spans="1:15" hidden="1" x14ac:dyDescent="0.25">
      <c r="A143">
        <v>142</v>
      </c>
      <c r="B143" t="s">
        <v>14</v>
      </c>
      <c r="C143" t="s">
        <v>29</v>
      </c>
      <c r="D143">
        <v>231600</v>
      </c>
      <c r="E143" t="s">
        <v>8</v>
      </c>
      <c r="F143" t="s">
        <v>9</v>
      </c>
      <c r="O143">
        <f t="shared" si="8"/>
        <v>0</v>
      </c>
    </row>
    <row r="144" spans="1:15" hidden="1" x14ac:dyDescent="0.25">
      <c r="A144">
        <v>143</v>
      </c>
      <c r="B144" t="s">
        <v>141</v>
      </c>
      <c r="C144" t="s">
        <v>31</v>
      </c>
      <c r="D144">
        <v>32700</v>
      </c>
      <c r="E144" t="s">
        <v>38</v>
      </c>
      <c r="F144" t="s">
        <v>20</v>
      </c>
      <c r="O144">
        <f t="shared" si="8"/>
        <v>0</v>
      </c>
    </row>
    <row r="145" spans="1:15" hidden="1" x14ac:dyDescent="0.25">
      <c r="A145">
        <v>144</v>
      </c>
      <c r="B145" t="s">
        <v>76</v>
      </c>
      <c r="C145" t="s">
        <v>33</v>
      </c>
      <c r="D145">
        <v>5400</v>
      </c>
      <c r="E145" t="s">
        <v>8</v>
      </c>
      <c r="F145" t="s">
        <v>9</v>
      </c>
      <c r="O145">
        <f t="shared" si="8"/>
        <v>0</v>
      </c>
    </row>
    <row r="146" spans="1:15" hidden="1" x14ac:dyDescent="0.25">
      <c r="A146">
        <v>145</v>
      </c>
      <c r="B146" t="s">
        <v>142</v>
      </c>
      <c r="C146" t="s">
        <v>7</v>
      </c>
      <c r="D146">
        <v>94800</v>
      </c>
      <c r="E146" t="s">
        <v>23</v>
      </c>
      <c r="F146" t="s">
        <v>20</v>
      </c>
      <c r="O146">
        <f t="shared" si="8"/>
        <v>0</v>
      </c>
    </row>
    <row r="147" spans="1:15" hidden="1" x14ac:dyDescent="0.25">
      <c r="A147">
        <v>146</v>
      </c>
      <c r="B147" t="s">
        <v>143</v>
      </c>
      <c r="C147" t="s">
        <v>11</v>
      </c>
      <c r="D147">
        <v>7500</v>
      </c>
      <c r="E147" t="s">
        <v>8</v>
      </c>
      <c r="F147" t="s">
        <v>9</v>
      </c>
      <c r="O147">
        <f t="shared" si="8"/>
        <v>0</v>
      </c>
    </row>
    <row r="148" spans="1:15" hidden="1" x14ac:dyDescent="0.25">
      <c r="A148">
        <v>147</v>
      </c>
      <c r="B148" t="s">
        <v>69</v>
      </c>
      <c r="C148" t="s">
        <v>13</v>
      </c>
      <c r="D148">
        <v>29500</v>
      </c>
      <c r="E148" t="s">
        <v>8</v>
      </c>
      <c r="F148" t="s">
        <v>9</v>
      </c>
      <c r="O148">
        <f t="shared" si="8"/>
        <v>0</v>
      </c>
    </row>
    <row r="149" spans="1:15" hidden="1" x14ac:dyDescent="0.25">
      <c r="A149">
        <v>148</v>
      </c>
      <c r="B149" t="s">
        <v>140</v>
      </c>
      <c r="C149" t="s">
        <v>15</v>
      </c>
      <c r="D149">
        <v>34300</v>
      </c>
      <c r="E149" t="s">
        <v>8</v>
      </c>
      <c r="F149" t="s">
        <v>9</v>
      </c>
      <c r="O149">
        <f t="shared" si="8"/>
        <v>0</v>
      </c>
    </row>
    <row r="150" spans="1:15" hidden="1" x14ac:dyDescent="0.25">
      <c r="A150">
        <v>149</v>
      </c>
      <c r="B150" t="s">
        <v>144</v>
      </c>
      <c r="C150" t="s">
        <v>17</v>
      </c>
      <c r="D150">
        <v>13700</v>
      </c>
      <c r="E150" t="s">
        <v>8</v>
      </c>
      <c r="F150" t="s">
        <v>9</v>
      </c>
      <c r="O150">
        <f t="shared" si="8"/>
        <v>0</v>
      </c>
    </row>
    <row r="151" spans="1:15" hidden="1" x14ac:dyDescent="0.25">
      <c r="A151">
        <v>150</v>
      </c>
      <c r="B151" t="s">
        <v>145</v>
      </c>
      <c r="C151" t="s">
        <v>19</v>
      </c>
      <c r="D151">
        <v>41700</v>
      </c>
      <c r="E151" t="s">
        <v>8</v>
      </c>
      <c r="F151" t="s">
        <v>9</v>
      </c>
      <c r="O151">
        <f t="shared" si="8"/>
        <v>0</v>
      </c>
    </row>
    <row r="152" spans="1:15" hidden="1" x14ac:dyDescent="0.25">
      <c r="A152">
        <v>151</v>
      </c>
      <c r="B152" t="s">
        <v>146</v>
      </c>
      <c r="C152" t="s">
        <v>22</v>
      </c>
      <c r="D152">
        <v>21800</v>
      </c>
      <c r="E152" t="s">
        <v>23</v>
      </c>
      <c r="F152" t="s">
        <v>9</v>
      </c>
      <c r="O152">
        <f t="shared" si="8"/>
        <v>0</v>
      </c>
    </row>
    <row r="153" spans="1:15" x14ac:dyDescent="0.25">
      <c r="A153">
        <v>152</v>
      </c>
      <c r="B153" t="s">
        <v>147</v>
      </c>
      <c r="C153" t="s">
        <v>15</v>
      </c>
      <c r="D153">
        <v>420000</v>
      </c>
      <c r="E153" t="s">
        <v>23</v>
      </c>
      <c r="F153" t="s">
        <v>9</v>
      </c>
      <c r="O153">
        <f t="shared" si="8"/>
        <v>0</v>
      </c>
    </row>
    <row r="154" spans="1:15" hidden="1" x14ac:dyDescent="0.25">
      <c r="A154">
        <v>153</v>
      </c>
      <c r="B154" t="s">
        <v>39</v>
      </c>
      <c r="C154" t="s">
        <v>27</v>
      </c>
      <c r="D154">
        <v>79600</v>
      </c>
      <c r="E154" t="s">
        <v>23</v>
      </c>
      <c r="F154" t="s">
        <v>9</v>
      </c>
      <c r="O154">
        <f t="shared" si="8"/>
        <v>0</v>
      </c>
    </row>
    <row r="155" spans="1:15" hidden="1" x14ac:dyDescent="0.25">
      <c r="A155">
        <v>154</v>
      </c>
      <c r="B155" t="s">
        <v>148</v>
      </c>
      <c r="C155" t="s">
        <v>29</v>
      </c>
      <c r="D155">
        <v>52800</v>
      </c>
      <c r="E155" t="s">
        <v>8</v>
      </c>
      <c r="F155" t="s">
        <v>20</v>
      </c>
      <c r="O155">
        <f t="shared" si="8"/>
        <v>0</v>
      </c>
    </row>
    <row r="156" spans="1:15" hidden="1" x14ac:dyDescent="0.25">
      <c r="A156">
        <v>155</v>
      </c>
      <c r="B156" t="s">
        <v>103</v>
      </c>
      <c r="C156" t="s">
        <v>31</v>
      </c>
      <c r="D156">
        <v>42400</v>
      </c>
      <c r="E156" t="s">
        <v>38</v>
      </c>
      <c r="F156" t="s">
        <v>20</v>
      </c>
      <c r="O156">
        <f t="shared" si="8"/>
        <v>0</v>
      </c>
    </row>
    <row r="157" spans="1:15" hidden="1" x14ac:dyDescent="0.25">
      <c r="A157">
        <v>156</v>
      </c>
      <c r="B157" t="s">
        <v>96</v>
      </c>
      <c r="C157" t="s">
        <v>33</v>
      </c>
      <c r="D157">
        <v>21100</v>
      </c>
      <c r="E157" t="s">
        <v>38</v>
      </c>
      <c r="F157" t="s">
        <v>20</v>
      </c>
      <c r="O157">
        <f t="shared" si="8"/>
        <v>0</v>
      </c>
    </row>
    <row r="158" spans="1:15" hidden="1" x14ac:dyDescent="0.25">
      <c r="A158">
        <v>157</v>
      </c>
      <c r="B158" t="s">
        <v>149</v>
      </c>
      <c r="C158" t="s">
        <v>7</v>
      </c>
      <c r="D158">
        <v>97400</v>
      </c>
      <c r="E158" t="s">
        <v>8</v>
      </c>
      <c r="F158" t="s">
        <v>9</v>
      </c>
      <c r="O158">
        <f t="shared" si="8"/>
        <v>0</v>
      </c>
    </row>
    <row r="159" spans="1:15" hidden="1" x14ac:dyDescent="0.25">
      <c r="A159">
        <v>158</v>
      </c>
      <c r="B159" t="s">
        <v>150</v>
      </c>
      <c r="C159" t="s">
        <v>11</v>
      </c>
      <c r="D159">
        <v>19000</v>
      </c>
      <c r="E159" t="s">
        <v>38</v>
      </c>
      <c r="F159" t="s">
        <v>20</v>
      </c>
      <c r="O159">
        <f t="shared" si="8"/>
        <v>0</v>
      </c>
    </row>
    <row r="160" spans="1:15" hidden="1" x14ac:dyDescent="0.25">
      <c r="A160">
        <v>159</v>
      </c>
      <c r="B160" t="s">
        <v>129</v>
      </c>
      <c r="C160" t="s">
        <v>13</v>
      </c>
      <c r="D160">
        <v>179600</v>
      </c>
      <c r="E160" t="s">
        <v>8</v>
      </c>
      <c r="F160" t="s">
        <v>20</v>
      </c>
      <c r="O160">
        <f t="shared" si="8"/>
        <v>0</v>
      </c>
    </row>
    <row r="161" spans="1:15" hidden="1" x14ac:dyDescent="0.25">
      <c r="A161">
        <v>160</v>
      </c>
      <c r="B161" t="s">
        <v>151</v>
      </c>
      <c r="C161" t="s">
        <v>15</v>
      </c>
      <c r="D161">
        <v>37900</v>
      </c>
      <c r="E161" t="s">
        <v>23</v>
      </c>
      <c r="F161" t="s">
        <v>20</v>
      </c>
      <c r="O161">
        <f t="shared" si="8"/>
        <v>0</v>
      </c>
    </row>
    <row r="162" spans="1:15" hidden="1" x14ac:dyDescent="0.25">
      <c r="A162">
        <v>161</v>
      </c>
      <c r="B162" t="s">
        <v>152</v>
      </c>
      <c r="C162" t="s">
        <v>17</v>
      </c>
      <c r="D162">
        <v>243300</v>
      </c>
      <c r="E162" t="s">
        <v>8</v>
      </c>
      <c r="F162" t="s">
        <v>9</v>
      </c>
      <c r="O162">
        <f t="shared" si="8"/>
        <v>0</v>
      </c>
    </row>
    <row r="163" spans="1:15" hidden="1" x14ac:dyDescent="0.25">
      <c r="A163">
        <v>162</v>
      </c>
      <c r="B163" t="s">
        <v>59</v>
      </c>
      <c r="C163" t="s">
        <v>19</v>
      </c>
      <c r="D163">
        <v>29700</v>
      </c>
      <c r="E163" t="s">
        <v>8</v>
      </c>
      <c r="F163" t="s">
        <v>9</v>
      </c>
      <c r="O163">
        <f t="shared" si="8"/>
        <v>0</v>
      </c>
    </row>
    <row r="164" spans="1:15" hidden="1" x14ac:dyDescent="0.25">
      <c r="A164">
        <v>163</v>
      </c>
      <c r="B164" t="s">
        <v>153</v>
      </c>
      <c r="C164" t="s">
        <v>22</v>
      </c>
      <c r="D164">
        <v>28600</v>
      </c>
      <c r="E164" t="s">
        <v>8</v>
      </c>
      <c r="F164" t="s">
        <v>9</v>
      </c>
      <c r="O164">
        <f t="shared" si="8"/>
        <v>0</v>
      </c>
    </row>
    <row r="165" spans="1:15" hidden="1" x14ac:dyDescent="0.25">
      <c r="A165">
        <v>164</v>
      </c>
      <c r="B165" t="s">
        <v>154</v>
      </c>
      <c r="C165" t="s">
        <v>25</v>
      </c>
      <c r="D165">
        <v>52400</v>
      </c>
      <c r="E165" t="s">
        <v>8</v>
      </c>
      <c r="F165" t="s">
        <v>9</v>
      </c>
      <c r="O165">
        <f t="shared" si="8"/>
        <v>0</v>
      </c>
    </row>
    <row r="166" spans="1:15" hidden="1" x14ac:dyDescent="0.25">
      <c r="A166">
        <v>165</v>
      </c>
      <c r="B166" t="s">
        <v>155</v>
      </c>
      <c r="C166" t="s">
        <v>27</v>
      </c>
      <c r="D166">
        <v>67800</v>
      </c>
      <c r="E166" t="s">
        <v>8</v>
      </c>
      <c r="F166" t="s">
        <v>9</v>
      </c>
      <c r="O166">
        <f t="shared" si="8"/>
        <v>0</v>
      </c>
    </row>
    <row r="167" spans="1:15" hidden="1" x14ac:dyDescent="0.25">
      <c r="A167">
        <v>166</v>
      </c>
      <c r="B167" t="s">
        <v>49</v>
      </c>
      <c r="C167" t="s">
        <v>29</v>
      </c>
      <c r="D167">
        <v>139700</v>
      </c>
      <c r="E167" t="s">
        <v>8</v>
      </c>
      <c r="F167" t="s">
        <v>9</v>
      </c>
      <c r="O167">
        <f t="shared" si="8"/>
        <v>0</v>
      </c>
    </row>
    <row r="168" spans="1:15" hidden="1" x14ac:dyDescent="0.25">
      <c r="A168">
        <v>167</v>
      </c>
      <c r="B168" t="s">
        <v>156</v>
      </c>
      <c r="C168" t="s">
        <v>31</v>
      </c>
      <c r="D168">
        <v>41600</v>
      </c>
      <c r="E168" t="s">
        <v>8</v>
      </c>
      <c r="F168" t="s">
        <v>9</v>
      </c>
      <c r="O168">
        <f t="shared" si="8"/>
        <v>0</v>
      </c>
    </row>
    <row r="169" spans="1:15" hidden="1" x14ac:dyDescent="0.25">
      <c r="A169">
        <v>168</v>
      </c>
      <c r="B169" t="s">
        <v>157</v>
      </c>
      <c r="C169" t="s">
        <v>33</v>
      </c>
      <c r="D169">
        <v>68100</v>
      </c>
      <c r="E169" t="s">
        <v>8</v>
      </c>
      <c r="F169" t="s">
        <v>9</v>
      </c>
      <c r="O169">
        <f t="shared" si="8"/>
        <v>0</v>
      </c>
    </row>
    <row r="170" spans="1:15" hidden="1" x14ac:dyDescent="0.25">
      <c r="A170">
        <v>169</v>
      </c>
      <c r="B170" t="s">
        <v>53</v>
      </c>
      <c r="C170" t="s">
        <v>7</v>
      </c>
      <c r="D170">
        <v>62000</v>
      </c>
      <c r="E170" t="s">
        <v>8</v>
      </c>
      <c r="F170" t="s">
        <v>9</v>
      </c>
      <c r="O170">
        <f t="shared" si="8"/>
        <v>0</v>
      </c>
    </row>
    <row r="171" spans="1:15" hidden="1" x14ac:dyDescent="0.25">
      <c r="A171">
        <v>170</v>
      </c>
      <c r="B171" t="s">
        <v>158</v>
      </c>
      <c r="C171" t="s">
        <v>11</v>
      </c>
      <c r="D171">
        <v>15500</v>
      </c>
      <c r="E171" t="s">
        <v>23</v>
      </c>
      <c r="F171" t="s">
        <v>9</v>
      </c>
      <c r="O171">
        <f t="shared" si="8"/>
        <v>0</v>
      </c>
    </row>
    <row r="172" spans="1:15" hidden="1" x14ac:dyDescent="0.25">
      <c r="A172">
        <v>171</v>
      </c>
      <c r="B172" t="s">
        <v>159</v>
      </c>
      <c r="C172" t="s">
        <v>13</v>
      </c>
      <c r="D172">
        <v>53300</v>
      </c>
      <c r="E172" t="s">
        <v>8</v>
      </c>
      <c r="F172" t="s">
        <v>9</v>
      </c>
      <c r="O172">
        <f t="shared" si="8"/>
        <v>0</v>
      </c>
    </row>
    <row r="173" spans="1:15" hidden="1" x14ac:dyDescent="0.25">
      <c r="A173">
        <v>172</v>
      </c>
      <c r="B173" t="s">
        <v>128</v>
      </c>
      <c r="C173" t="s">
        <v>15</v>
      </c>
      <c r="D173">
        <v>9200</v>
      </c>
      <c r="E173" t="s">
        <v>23</v>
      </c>
      <c r="F173" t="s">
        <v>9</v>
      </c>
      <c r="O173">
        <f t="shared" si="8"/>
        <v>0</v>
      </c>
    </row>
    <row r="174" spans="1:15" hidden="1" x14ac:dyDescent="0.25">
      <c r="A174">
        <v>173</v>
      </c>
      <c r="B174" t="s">
        <v>160</v>
      </c>
      <c r="C174" t="s">
        <v>17</v>
      </c>
      <c r="D174">
        <v>18300</v>
      </c>
      <c r="E174" t="s">
        <v>23</v>
      </c>
      <c r="F174" t="s">
        <v>20</v>
      </c>
      <c r="O174">
        <f t="shared" si="8"/>
        <v>0</v>
      </c>
    </row>
    <row r="175" spans="1:15" hidden="1" x14ac:dyDescent="0.25">
      <c r="A175">
        <v>174</v>
      </c>
      <c r="B175" t="s">
        <v>155</v>
      </c>
      <c r="C175" t="s">
        <v>19</v>
      </c>
      <c r="D175">
        <v>28200</v>
      </c>
      <c r="E175" t="s">
        <v>8</v>
      </c>
      <c r="F175" t="s">
        <v>9</v>
      </c>
      <c r="O175">
        <f t="shared" si="8"/>
        <v>0</v>
      </c>
    </row>
    <row r="176" spans="1:15" hidden="1" x14ac:dyDescent="0.25">
      <c r="A176">
        <v>175</v>
      </c>
      <c r="B176" t="s">
        <v>161</v>
      </c>
      <c r="C176" t="s">
        <v>22</v>
      </c>
      <c r="D176">
        <v>130700</v>
      </c>
      <c r="E176" t="s">
        <v>8</v>
      </c>
      <c r="F176" t="s">
        <v>9</v>
      </c>
      <c r="O176">
        <f t="shared" si="8"/>
        <v>0</v>
      </c>
    </row>
    <row r="177" spans="1:15" hidden="1" x14ac:dyDescent="0.25">
      <c r="A177">
        <v>176</v>
      </c>
      <c r="B177" t="s">
        <v>6</v>
      </c>
      <c r="C177" t="s">
        <v>25</v>
      </c>
      <c r="D177">
        <v>36300</v>
      </c>
      <c r="E177" t="s">
        <v>8</v>
      </c>
      <c r="F177" t="s">
        <v>9</v>
      </c>
      <c r="O177">
        <f t="shared" si="8"/>
        <v>0</v>
      </c>
    </row>
    <row r="178" spans="1:15" hidden="1" x14ac:dyDescent="0.25">
      <c r="A178">
        <v>177</v>
      </c>
      <c r="B178" t="s">
        <v>162</v>
      </c>
      <c r="C178" t="s">
        <v>27</v>
      </c>
      <c r="D178">
        <v>100200</v>
      </c>
      <c r="E178" t="s">
        <v>23</v>
      </c>
      <c r="F178" t="s">
        <v>9</v>
      </c>
      <c r="O178">
        <f t="shared" si="8"/>
        <v>0</v>
      </c>
    </row>
    <row r="179" spans="1:15" hidden="1" x14ac:dyDescent="0.25">
      <c r="A179">
        <v>178</v>
      </c>
      <c r="B179" t="s">
        <v>18</v>
      </c>
      <c r="C179" t="s">
        <v>29</v>
      </c>
      <c r="D179">
        <v>31500</v>
      </c>
      <c r="E179" t="s">
        <v>38</v>
      </c>
      <c r="F179" t="s">
        <v>20</v>
      </c>
      <c r="O179">
        <f t="shared" si="8"/>
        <v>0</v>
      </c>
    </row>
    <row r="180" spans="1:15" hidden="1" x14ac:dyDescent="0.25">
      <c r="A180">
        <v>179</v>
      </c>
      <c r="B180" t="s">
        <v>51</v>
      </c>
      <c r="C180" t="s">
        <v>31</v>
      </c>
      <c r="D180">
        <v>75800</v>
      </c>
      <c r="E180" t="s">
        <v>8</v>
      </c>
      <c r="F180" t="s">
        <v>9</v>
      </c>
      <c r="O180">
        <f t="shared" si="8"/>
        <v>0</v>
      </c>
    </row>
    <row r="181" spans="1:15" hidden="1" x14ac:dyDescent="0.25">
      <c r="A181">
        <v>180</v>
      </c>
      <c r="B181" t="s">
        <v>155</v>
      </c>
      <c r="C181" t="s">
        <v>33</v>
      </c>
      <c r="D181">
        <v>9800</v>
      </c>
      <c r="E181" t="s">
        <v>8</v>
      </c>
      <c r="F181" t="s">
        <v>9</v>
      </c>
      <c r="O181">
        <f t="shared" si="8"/>
        <v>0</v>
      </c>
    </row>
    <row r="182" spans="1:15" hidden="1" x14ac:dyDescent="0.25">
      <c r="A182">
        <v>181</v>
      </c>
      <c r="B182" t="s">
        <v>149</v>
      </c>
      <c r="C182" t="s">
        <v>7</v>
      </c>
      <c r="D182">
        <v>47400</v>
      </c>
      <c r="E182" t="s">
        <v>8</v>
      </c>
      <c r="F182" t="s">
        <v>9</v>
      </c>
      <c r="O182">
        <f t="shared" si="8"/>
        <v>0</v>
      </c>
    </row>
    <row r="183" spans="1:15" hidden="1" x14ac:dyDescent="0.25">
      <c r="A183">
        <v>182</v>
      </c>
      <c r="B183" t="s">
        <v>163</v>
      </c>
      <c r="C183" t="s">
        <v>11</v>
      </c>
      <c r="D183">
        <v>21200</v>
      </c>
      <c r="E183" t="s">
        <v>8</v>
      </c>
      <c r="F183" t="s">
        <v>9</v>
      </c>
      <c r="O183">
        <f t="shared" si="8"/>
        <v>0</v>
      </c>
    </row>
    <row r="184" spans="1:15" hidden="1" x14ac:dyDescent="0.25">
      <c r="A184">
        <v>183</v>
      </c>
      <c r="B184" t="s">
        <v>164</v>
      </c>
      <c r="C184" t="s">
        <v>13</v>
      </c>
      <c r="D184">
        <v>62100</v>
      </c>
      <c r="E184" t="s">
        <v>38</v>
      </c>
      <c r="F184" t="s">
        <v>20</v>
      </c>
      <c r="O184">
        <f t="shared" si="8"/>
        <v>0</v>
      </c>
    </row>
    <row r="185" spans="1:15" hidden="1" x14ac:dyDescent="0.25">
      <c r="A185">
        <v>184</v>
      </c>
      <c r="B185" t="s">
        <v>60</v>
      </c>
      <c r="C185" t="s">
        <v>15</v>
      </c>
      <c r="D185">
        <v>21400</v>
      </c>
      <c r="E185" t="s">
        <v>8</v>
      </c>
      <c r="F185" t="s">
        <v>9</v>
      </c>
      <c r="O185">
        <f t="shared" si="8"/>
        <v>0</v>
      </c>
    </row>
    <row r="186" spans="1:15" hidden="1" x14ac:dyDescent="0.25">
      <c r="A186">
        <v>185</v>
      </c>
      <c r="B186" t="s">
        <v>165</v>
      </c>
      <c r="C186" t="s">
        <v>17</v>
      </c>
      <c r="D186">
        <v>9100</v>
      </c>
      <c r="E186" t="s">
        <v>23</v>
      </c>
      <c r="F186" t="s">
        <v>9</v>
      </c>
      <c r="O186">
        <f t="shared" si="8"/>
        <v>0</v>
      </c>
    </row>
    <row r="187" spans="1:15" hidden="1" x14ac:dyDescent="0.25">
      <c r="A187">
        <v>186</v>
      </c>
      <c r="B187" t="s">
        <v>166</v>
      </c>
      <c r="C187" t="s">
        <v>19</v>
      </c>
      <c r="D187">
        <v>11600</v>
      </c>
      <c r="E187" t="s">
        <v>8</v>
      </c>
      <c r="F187" t="s">
        <v>9</v>
      </c>
      <c r="O187">
        <f t="shared" si="8"/>
        <v>0</v>
      </c>
    </row>
    <row r="188" spans="1:15" hidden="1" x14ac:dyDescent="0.25">
      <c r="A188">
        <v>187</v>
      </c>
      <c r="B188" t="s">
        <v>167</v>
      </c>
      <c r="C188" t="s">
        <v>22</v>
      </c>
      <c r="D188">
        <v>67100</v>
      </c>
      <c r="E188" t="s">
        <v>8</v>
      </c>
      <c r="F188" t="s">
        <v>9</v>
      </c>
      <c r="O188">
        <f t="shared" si="8"/>
        <v>0</v>
      </c>
    </row>
    <row r="189" spans="1:15" hidden="1" x14ac:dyDescent="0.25">
      <c r="A189">
        <v>188</v>
      </c>
      <c r="B189" t="s">
        <v>168</v>
      </c>
      <c r="C189" t="s">
        <v>25</v>
      </c>
      <c r="D189">
        <v>21500</v>
      </c>
      <c r="E189" t="s">
        <v>8</v>
      </c>
      <c r="F189" t="s">
        <v>9</v>
      </c>
      <c r="O189">
        <f t="shared" si="8"/>
        <v>0</v>
      </c>
    </row>
    <row r="190" spans="1:15" hidden="1" x14ac:dyDescent="0.25">
      <c r="A190">
        <v>189</v>
      </c>
      <c r="B190" t="s">
        <v>169</v>
      </c>
      <c r="C190" t="s">
        <v>27</v>
      </c>
      <c r="D190">
        <v>44500</v>
      </c>
      <c r="E190" t="s">
        <v>8</v>
      </c>
      <c r="F190" t="s">
        <v>9</v>
      </c>
      <c r="O190">
        <f t="shared" si="8"/>
        <v>0</v>
      </c>
    </row>
    <row r="191" spans="1:15" x14ac:dyDescent="0.25">
      <c r="A191">
        <v>190</v>
      </c>
      <c r="B191" t="s">
        <v>170</v>
      </c>
      <c r="C191" t="s">
        <v>19</v>
      </c>
      <c r="D191">
        <v>0</v>
      </c>
      <c r="E191" t="s">
        <v>8</v>
      </c>
      <c r="F191" t="s">
        <v>9</v>
      </c>
      <c r="O191">
        <f t="shared" si="8"/>
        <v>0</v>
      </c>
    </row>
    <row r="192" spans="1:15" hidden="1" x14ac:dyDescent="0.25">
      <c r="A192">
        <v>191</v>
      </c>
      <c r="B192" t="s">
        <v>30</v>
      </c>
      <c r="C192" t="s">
        <v>31</v>
      </c>
      <c r="D192">
        <v>48200</v>
      </c>
      <c r="E192" t="s">
        <v>8</v>
      </c>
      <c r="F192" t="s">
        <v>9</v>
      </c>
      <c r="O192">
        <f t="shared" si="8"/>
        <v>0</v>
      </c>
    </row>
    <row r="193" spans="1:15" hidden="1" x14ac:dyDescent="0.25">
      <c r="A193">
        <v>192</v>
      </c>
      <c r="B193" t="s">
        <v>171</v>
      </c>
      <c r="C193" t="s">
        <v>33</v>
      </c>
      <c r="D193">
        <v>34500</v>
      </c>
      <c r="E193" t="s">
        <v>8</v>
      </c>
      <c r="F193" t="s">
        <v>9</v>
      </c>
      <c r="O193">
        <f t="shared" si="8"/>
        <v>0</v>
      </c>
    </row>
    <row r="194" spans="1:15" hidden="1" x14ac:dyDescent="0.25">
      <c r="A194">
        <v>193</v>
      </c>
      <c r="B194" t="s">
        <v>164</v>
      </c>
      <c r="C194" t="s">
        <v>7</v>
      </c>
      <c r="D194">
        <v>12000</v>
      </c>
      <c r="E194" t="s">
        <v>8</v>
      </c>
      <c r="F194" t="s">
        <v>20</v>
      </c>
      <c r="O194">
        <f t="shared" si="8"/>
        <v>0</v>
      </c>
    </row>
    <row r="195" spans="1:15" hidden="1" x14ac:dyDescent="0.25">
      <c r="A195">
        <v>194</v>
      </c>
      <c r="B195" t="s">
        <v>172</v>
      </c>
      <c r="C195" t="s">
        <v>11</v>
      </c>
      <c r="D195">
        <v>103900</v>
      </c>
      <c r="E195" t="s">
        <v>38</v>
      </c>
      <c r="F195" t="s">
        <v>20</v>
      </c>
      <c r="O195">
        <f t="shared" si="8"/>
        <v>0</v>
      </c>
    </row>
    <row r="196" spans="1:15" hidden="1" x14ac:dyDescent="0.25">
      <c r="A196">
        <v>195</v>
      </c>
      <c r="B196" t="s">
        <v>161</v>
      </c>
      <c r="C196" t="s">
        <v>13</v>
      </c>
      <c r="D196">
        <v>56600</v>
      </c>
      <c r="E196" t="s">
        <v>8</v>
      </c>
      <c r="F196" t="s">
        <v>9</v>
      </c>
      <c r="O196">
        <f t="shared" si="8"/>
        <v>0</v>
      </c>
    </row>
    <row r="197" spans="1:15" hidden="1" x14ac:dyDescent="0.25">
      <c r="A197">
        <v>196</v>
      </c>
      <c r="B197" t="s">
        <v>59</v>
      </c>
      <c r="C197" t="s">
        <v>15</v>
      </c>
      <c r="D197">
        <v>11300</v>
      </c>
      <c r="E197" t="s">
        <v>23</v>
      </c>
      <c r="F197" t="s">
        <v>9</v>
      </c>
      <c r="O197">
        <f t="shared" ref="O197:O260" si="9">N197*N197</f>
        <v>0</v>
      </c>
    </row>
    <row r="198" spans="1:15" hidden="1" x14ac:dyDescent="0.25">
      <c r="A198">
        <v>197</v>
      </c>
      <c r="B198" t="s">
        <v>173</v>
      </c>
      <c r="C198" t="s">
        <v>17</v>
      </c>
      <c r="D198">
        <v>17700</v>
      </c>
      <c r="E198" t="s">
        <v>23</v>
      </c>
      <c r="F198" t="s">
        <v>9</v>
      </c>
      <c r="O198">
        <f t="shared" si="9"/>
        <v>0</v>
      </c>
    </row>
    <row r="199" spans="1:15" hidden="1" x14ac:dyDescent="0.25">
      <c r="A199">
        <v>198</v>
      </c>
      <c r="B199" t="s">
        <v>174</v>
      </c>
      <c r="C199" t="s">
        <v>19</v>
      </c>
      <c r="D199">
        <v>37800</v>
      </c>
      <c r="E199" t="s">
        <v>8</v>
      </c>
      <c r="F199" t="s">
        <v>9</v>
      </c>
      <c r="O199">
        <f t="shared" si="9"/>
        <v>0</v>
      </c>
    </row>
    <row r="200" spans="1:15" x14ac:dyDescent="0.25">
      <c r="A200">
        <v>199</v>
      </c>
      <c r="B200" t="s">
        <v>28</v>
      </c>
      <c r="C200" t="s">
        <v>22</v>
      </c>
      <c r="D200">
        <v>284400</v>
      </c>
      <c r="E200" t="s">
        <v>38</v>
      </c>
      <c r="F200" t="s">
        <v>20</v>
      </c>
      <c r="O200">
        <f t="shared" si="9"/>
        <v>0</v>
      </c>
    </row>
    <row r="201" spans="1:15" hidden="1" x14ac:dyDescent="0.25">
      <c r="A201">
        <v>200</v>
      </c>
      <c r="B201" t="s">
        <v>119</v>
      </c>
      <c r="C201" t="s">
        <v>25</v>
      </c>
      <c r="D201">
        <v>34700</v>
      </c>
      <c r="E201" t="s">
        <v>8</v>
      </c>
      <c r="F201" t="s">
        <v>9</v>
      </c>
      <c r="O201">
        <f t="shared" si="9"/>
        <v>0</v>
      </c>
    </row>
    <row r="202" spans="1:15" hidden="1" x14ac:dyDescent="0.25">
      <c r="A202">
        <v>201</v>
      </c>
      <c r="B202" t="s">
        <v>175</v>
      </c>
      <c r="C202" t="s">
        <v>27</v>
      </c>
      <c r="D202">
        <v>16800</v>
      </c>
      <c r="E202" t="s">
        <v>8</v>
      </c>
      <c r="F202" t="s">
        <v>9</v>
      </c>
      <c r="O202">
        <f t="shared" si="9"/>
        <v>0</v>
      </c>
    </row>
    <row r="203" spans="1:15" hidden="1" x14ac:dyDescent="0.25">
      <c r="A203">
        <v>202</v>
      </c>
      <c r="B203" t="s">
        <v>114</v>
      </c>
      <c r="C203" t="s">
        <v>29</v>
      </c>
      <c r="D203">
        <v>63700</v>
      </c>
      <c r="E203" t="s">
        <v>8</v>
      </c>
      <c r="F203" t="s">
        <v>9</v>
      </c>
      <c r="O203">
        <f t="shared" si="9"/>
        <v>0</v>
      </c>
    </row>
    <row r="204" spans="1:15" hidden="1" x14ac:dyDescent="0.25">
      <c r="A204">
        <v>203</v>
      </c>
      <c r="B204" t="s">
        <v>176</v>
      </c>
      <c r="C204" t="s">
        <v>31</v>
      </c>
      <c r="D204">
        <v>46000</v>
      </c>
      <c r="E204" t="s">
        <v>23</v>
      </c>
      <c r="F204" t="s">
        <v>9</v>
      </c>
      <c r="O204">
        <f t="shared" si="9"/>
        <v>0</v>
      </c>
    </row>
    <row r="205" spans="1:15" hidden="1" x14ac:dyDescent="0.25">
      <c r="A205">
        <v>204</v>
      </c>
      <c r="B205" t="s">
        <v>71</v>
      </c>
      <c r="C205" t="s">
        <v>33</v>
      </c>
      <c r="D205">
        <v>61900</v>
      </c>
      <c r="E205" t="s">
        <v>8</v>
      </c>
      <c r="F205" t="s">
        <v>9</v>
      </c>
      <c r="O205">
        <f t="shared" si="9"/>
        <v>0</v>
      </c>
    </row>
    <row r="206" spans="1:15" hidden="1" x14ac:dyDescent="0.25">
      <c r="A206">
        <v>205</v>
      </c>
      <c r="B206" t="s">
        <v>58</v>
      </c>
      <c r="C206" t="s">
        <v>7</v>
      </c>
      <c r="D206">
        <v>18600</v>
      </c>
      <c r="E206" t="s">
        <v>38</v>
      </c>
      <c r="F206" t="s">
        <v>20</v>
      </c>
      <c r="O206">
        <f t="shared" si="9"/>
        <v>0</v>
      </c>
    </row>
    <row r="207" spans="1:15" hidden="1" x14ac:dyDescent="0.25">
      <c r="A207">
        <v>206</v>
      </c>
      <c r="B207" t="s">
        <v>85</v>
      </c>
      <c r="C207" t="s">
        <v>11</v>
      </c>
      <c r="D207">
        <v>61400</v>
      </c>
      <c r="E207" t="s">
        <v>8</v>
      </c>
      <c r="F207" t="s">
        <v>9</v>
      </c>
      <c r="O207">
        <f t="shared" si="9"/>
        <v>0</v>
      </c>
    </row>
    <row r="208" spans="1:15" hidden="1" x14ac:dyDescent="0.25">
      <c r="A208">
        <v>207</v>
      </c>
      <c r="B208" t="s">
        <v>177</v>
      </c>
      <c r="C208" t="s">
        <v>13</v>
      </c>
      <c r="D208">
        <v>5000</v>
      </c>
      <c r="E208" t="s">
        <v>23</v>
      </c>
      <c r="F208" t="s">
        <v>20</v>
      </c>
      <c r="O208">
        <f t="shared" si="9"/>
        <v>0</v>
      </c>
    </row>
    <row r="209" spans="1:15" hidden="1" x14ac:dyDescent="0.25">
      <c r="A209">
        <v>208</v>
      </c>
      <c r="B209" t="s">
        <v>138</v>
      </c>
      <c r="C209" t="s">
        <v>15</v>
      </c>
      <c r="D209">
        <v>47800</v>
      </c>
      <c r="E209" t="s">
        <v>8</v>
      </c>
      <c r="F209" t="s">
        <v>9</v>
      </c>
      <c r="O209">
        <f t="shared" si="9"/>
        <v>0</v>
      </c>
    </row>
    <row r="210" spans="1:15" hidden="1" x14ac:dyDescent="0.25">
      <c r="A210">
        <v>209</v>
      </c>
      <c r="B210" t="s">
        <v>178</v>
      </c>
      <c r="C210" t="s">
        <v>17</v>
      </c>
      <c r="D210">
        <v>11800</v>
      </c>
      <c r="E210" t="s">
        <v>8</v>
      </c>
      <c r="F210" t="s">
        <v>9</v>
      </c>
      <c r="O210">
        <f t="shared" si="9"/>
        <v>0</v>
      </c>
    </row>
    <row r="211" spans="1:15" hidden="1" x14ac:dyDescent="0.25">
      <c r="A211">
        <v>210</v>
      </c>
      <c r="B211" t="s">
        <v>179</v>
      </c>
      <c r="C211" t="s">
        <v>19</v>
      </c>
      <c r="D211">
        <v>9800</v>
      </c>
      <c r="E211" t="s">
        <v>8</v>
      </c>
      <c r="F211" t="s">
        <v>9</v>
      </c>
      <c r="O211">
        <f t="shared" si="9"/>
        <v>0</v>
      </c>
    </row>
    <row r="212" spans="1:15" hidden="1" x14ac:dyDescent="0.25">
      <c r="A212">
        <v>211</v>
      </c>
      <c r="B212" t="s">
        <v>180</v>
      </c>
      <c r="C212" t="s">
        <v>22</v>
      </c>
      <c r="D212">
        <v>16300</v>
      </c>
      <c r="E212" t="s">
        <v>8</v>
      </c>
      <c r="F212" t="s">
        <v>9</v>
      </c>
      <c r="O212">
        <f t="shared" si="9"/>
        <v>0</v>
      </c>
    </row>
    <row r="213" spans="1:15" hidden="1" x14ac:dyDescent="0.25">
      <c r="A213">
        <v>212</v>
      </c>
      <c r="B213" t="s">
        <v>181</v>
      </c>
      <c r="C213" t="s">
        <v>25</v>
      </c>
      <c r="D213">
        <v>25800</v>
      </c>
      <c r="E213" t="s">
        <v>23</v>
      </c>
      <c r="F213" t="s">
        <v>9</v>
      </c>
      <c r="O213">
        <f t="shared" si="9"/>
        <v>0</v>
      </c>
    </row>
    <row r="214" spans="1:15" hidden="1" x14ac:dyDescent="0.25">
      <c r="A214">
        <v>213</v>
      </c>
      <c r="B214" t="s">
        <v>157</v>
      </c>
      <c r="C214" t="s">
        <v>27</v>
      </c>
      <c r="D214">
        <v>25000</v>
      </c>
      <c r="E214" t="s">
        <v>38</v>
      </c>
      <c r="F214" t="s">
        <v>20</v>
      </c>
      <c r="O214">
        <f t="shared" si="9"/>
        <v>0</v>
      </c>
    </row>
    <row r="215" spans="1:15" hidden="1" x14ac:dyDescent="0.25">
      <c r="A215">
        <v>214</v>
      </c>
      <c r="B215" t="s">
        <v>130</v>
      </c>
      <c r="C215" t="s">
        <v>29</v>
      </c>
      <c r="D215">
        <v>52400</v>
      </c>
      <c r="E215" t="s">
        <v>8</v>
      </c>
      <c r="F215" t="s">
        <v>9</v>
      </c>
      <c r="O215">
        <f t="shared" si="9"/>
        <v>0</v>
      </c>
    </row>
    <row r="216" spans="1:15" hidden="1" x14ac:dyDescent="0.25">
      <c r="A216">
        <v>215</v>
      </c>
      <c r="B216" t="s">
        <v>182</v>
      </c>
      <c r="C216" t="s">
        <v>31</v>
      </c>
      <c r="D216">
        <v>14200</v>
      </c>
      <c r="E216" t="s">
        <v>8</v>
      </c>
      <c r="F216" t="s">
        <v>9</v>
      </c>
      <c r="O216">
        <f t="shared" si="9"/>
        <v>0</v>
      </c>
    </row>
    <row r="217" spans="1:15" hidden="1" x14ac:dyDescent="0.25">
      <c r="A217">
        <v>216</v>
      </c>
      <c r="B217" t="s">
        <v>39</v>
      </c>
      <c r="C217" t="s">
        <v>33</v>
      </c>
      <c r="D217">
        <v>41200</v>
      </c>
      <c r="E217" t="s">
        <v>8</v>
      </c>
      <c r="F217" t="s">
        <v>9</v>
      </c>
      <c r="O217">
        <f t="shared" si="9"/>
        <v>0</v>
      </c>
    </row>
    <row r="218" spans="1:15" hidden="1" x14ac:dyDescent="0.25">
      <c r="A218">
        <v>217</v>
      </c>
      <c r="B218" t="s">
        <v>183</v>
      </c>
      <c r="C218" t="s">
        <v>7</v>
      </c>
      <c r="D218">
        <v>21400</v>
      </c>
      <c r="E218" t="s">
        <v>8</v>
      </c>
      <c r="F218" t="s">
        <v>9</v>
      </c>
      <c r="O218">
        <f t="shared" si="9"/>
        <v>0</v>
      </c>
    </row>
    <row r="219" spans="1:15" hidden="1" x14ac:dyDescent="0.25">
      <c r="A219">
        <v>218</v>
      </c>
      <c r="B219" t="s">
        <v>138</v>
      </c>
      <c r="C219" t="s">
        <v>11</v>
      </c>
      <c r="D219">
        <v>45100</v>
      </c>
      <c r="E219" t="s">
        <v>8</v>
      </c>
      <c r="F219" t="s">
        <v>9</v>
      </c>
      <c r="O219">
        <f t="shared" si="9"/>
        <v>0</v>
      </c>
    </row>
    <row r="220" spans="1:15" hidden="1" x14ac:dyDescent="0.25">
      <c r="A220">
        <v>219</v>
      </c>
      <c r="B220" t="s">
        <v>87</v>
      </c>
      <c r="C220" t="s">
        <v>13</v>
      </c>
      <c r="D220">
        <v>77700</v>
      </c>
      <c r="E220" t="s">
        <v>8</v>
      </c>
      <c r="F220" t="s">
        <v>9</v>
      </c>
      <c r="O220">
        <f t="shared" si="9"/>
        <v>0</v>
      </c>
    </row>
    <row r="221" spans="1:15" hidden="1" x14ac:dyDescent="0.25">
      <c r="A221">
        <v>220</v>
      </c>
      <c r="B221" t="s">
        <v>80</v>
      </c>
      <c r="C221" t="s">
        <v>15</v>
      </c>
      <c r="D221">
        <v>95200</v>
      </c>
      <c r="E221" t="s">
        <v>8</v>
      </c>
      <c r="F221" t="s">
        <v>9</v>
      </c>
      <c r="O221">
        <f t="shared" si="9"/>
        <v>0</v>
      </c>
    </row>
    <row r="222" spans="1:15" hidden="1" x14ac:dyDescent="0.25">
      <c r="A222">
        <v>221</v>
      </c>
      <c r="B222" t="s">
        <v>76</v>
      </c>
      <c r="C222" t="s">
        <v>17</v>
      </c>
      <c r="D222">
        <v>124800</v>
      </c>
      <c r="E222" t="s">
        <v>8</v>
      </c>
      <c r="F222" t="s">
        <v>9</v>
      </c>
      <c r="O222">
        <f t="shared" si="9"/>
        <v>0</v>
      </c>
    </row>
    <row r="223" spans="1:15" hidden="1" x14ac:dyDescent="0.25">
      <c r="A223">
        <v>222</v>
      </c>
      <c r="B223" t="s">
        <v>47</v>
      </c>
      <c r="C223" t="s">
        <v>19</v>
      </c>
      <c r="D223">
        <v>10200</v>
      </c>
      <c r="E223" t="s">
        <v>38</v>
      </c>
      <c r="F223" t="s">
        <v>20</v>
      </c>
      <c r="O223">
        <f t="shared" si="9"/>
        <v>0</v>
      </c>
    </row>
    <row r="224" spans="1:15" hidden="1" x14ac:dyDescent="0.25">
      <c r="A224">
        <v>223</v>
      </c>
      <c r="B224" t="s">
        <v>184</v>
      </c>
      <c r="C224" t="s">
        <v>22</v>
      </c>
      <c r="D224">
        <v>30300</v>
      </c>
      <c r="E224" t="s">
        <v>8</v>
      </c>
      <c r="F224" t="s">
        <v>9</v>
      </c>
      <c r="O224">
        <f t="shared" si="9"/>
        <v>0</v>
      </c>
    </row>
    <row r="225" spans="1:15" hidden="1" x14ac:dyDescent="0.25">
      <c r="A225">
        <v>224</v>
      </c>
      <c r="B225" t="s">
        <v>185</v>
      </c>
      <c r="C225" t="s">
        <v>25</v>
      </c>
      <c r="D225">
        <v>84000</v>
      </c>
      <c r="E225" t="s">
        <v>8</v>
      </c>
      <c r="F225" t="s">
        <v>9</v>
      </c>
      <c r="O225">
        <f t="shared" si="9"/>
        <v>0</v>
      </c>
    </row>
    <row r="226" spans="1:15" hidden="1" x14ac:dyDescent="0.25">
      <c r="A226">
        <v>225</v>
      </c>
      <c r="B226" t="s">
        <v>57</v>
      </c>
      <c r="C226" t="s">
        <v>27</v>
      </c>
      <c r="D226">
        <v>59300</v>
      </c>
      <c r="E226" t="s">
        <v>8</v>
      </c>
      <c r="F226" t="s">
        <v>9</v>
      </c>
      <c r="O226">
        <f t="shared" si="9"/>
        <v>0</v>
      </c>
    </row>
    <row r="227" spans="1:15" hidden="1" x14ac:dyDescent="0.25">
      <c r="A227">
        <v>226</v>
      </c>
      <c r="B227" t="s">
        <v>84</v>
      </c>
      <c r="C227" t="s">
        <v>29</v>
      </c>
      <c r="D227">
        <v>8600</v>
      </c>
      <c r="E227" t="s">
        <v>8</v>
      </c>
      <c r="F227" t="s">
        <v>9</v>
      </c>
      <c r="O227">
        <f t="shared" si="9"/>
        <v>0</v>
      </c>
    </row>
    <row r="228" spans="1:15" hidden="1" x14ac:dyDescent="0.25">
      <c r="A228">
        <v>227</v>
      </c>
      <c r="B228" t="s">
        <v>186</v>
      </c>
      <c r="C228" t="s">
        <v>31</v>
      </c>
      <c r="D228">
        <v>6900</v>
      </c>
      <c r="E228" t="s">
        <v>8</v>
      </c>
      <c r="F228" t="s">
        <v>20</v>
      </c>
      <c r="O228">
        <f t="shared" si="9"/>
        <v>0</v>
      </c>
    </row>
    <row r="229" spans="1:15" hidden="1" x14ac:dyDescent="0.25">
      <c r="A229">
        <v>228</v>
      </c>
      <c r="B229" t="s">
        <v>187</v>
      </c>
      <c r="C229" t="s">
        <v>33</v>
      </c>
      <c r="D229">
        <v>58600</v>
      </c>
      <c r="E229" t="s">
        <v>8</v>
      </c>
      <c r="F229" t="s">
        <v>9</v>
      </c>
      <c r="O229">
        <f t="shared" si="9"/>
        <v>0</v>
      </c>
    </row>
    <row r="230" spans="1:15" hidden="1" x14ac:dyDescent="0.25">
      <c r="A230">
        <v>229</v>
      </c>
      <c r="B230" t="s">
        <v>45</v>
      </c>
      <c r="C230" t="s">
        <v>7</v>
      </c>
      <c r="D230">
        <v>122600</v>
      </c>
      <c r="E230" t="s">
        <v>8</v>
      </c>
      <c r="F230" t="s">
        <v>9</v>
      </c>
      <c r="O230">
        <f t="shared" si="9"/>
        <v>0</v>
      </c>
    </row>
    <row r="231" spans="1:15" hidden="1" x14ac:dyDescent="0.25">
      <c r="A231">
        <v>230</v>
      </c>
      <c r="B231" t="s">
        <v>188</v>
      </c>
      <c r="C231" t="s">
        <v>11</v>
      </c>
      <c r="D231">
        <v>14300</v>
      </c>
      <c r="E231" t="s">
        <v>8</v>
      </c>
      <c r="F231" t="s">
        <v>9</v>
      </c>
      <c r="O231">
        <f t="shared" si="9"/>
        <v>0</v>
      </c>
    </row>
    <row r="232" spans="1:15" hidden="1" x14ac:dyDescent="0.25">
      <c r="A232">
        <v>231</v>
      </c>
      <c r="B232" t="s">
        <v>132</v>
      </c>
      <c r="C232" t="s">
        <v>13</v>
      </c>
      <c r="D232">
        <v>37800</v>
      </c>
      <c r="E232" t="s">
        <v>8</v>
      </c>
      <c r="F232" t="s">
        <v>20</v>
      </c>
      <c r="O232">
        <f t="shared" si="9"/>
        <v>0</v>
      </c>
    </row>
    <row r="233" spans="1:15" hidden="1" x14ac:dyDescent="0.25">
      <c r="A233">
        <v>232</v>
      </c>
      <c r="B233" t="s">
        <v>189</v>
      </c>
      <c r="C233" t="s">
        <v>15</v>
      </c>
      <c r="D233">
        <v>39500</v>
      </c>
      <c r="E233" t="s">
        <v>38</v>
      </c>
      <c r="F233" t="s">
        <v>20</v>
      </c>
      <c r="O233">
        <f t="shared" si="9"/>
        <v>0</v>
      </c>
    </row>
    <row r="234" spans="1:15" hidden="1" x14ac:dyDescent="0.25">
      <c r="A234">
        <v>233</v>
      </c>
      <c r="B234" t="s">
        <v>190</v>
      </c>
      <c r="C234" t="s">
        <v>17</v>
      </c>
      <c r="D234">
        <v>168400</v>
      </c>
      <c r="E234" t="s">
        <v>8</v>
      </c>
      <c r="F234" t="s">
        <v>9</v>
      </c>
      <c r="O234">
        <f t="shared" si="9"/>
        <v>0</v>
      </c>
    </row>
    <row r="235" spans="1:15" hidden="1" x14ac:dyDescent="0.25">
      <c r="A235">
        <v>234</v>
      </c>
      <c r="B235" t="s">
        <v>43</v>
      </c>
      <c r="C235" t="s">
        <v>19</v>
      </c>
      <c r="D235">
        <v>31700</v>
      </c>
      <c r="E235" t="s">
        <v>8</v>
      </c>
      <c r="F235" t="s">
        <v>9</v>
      </c>
      <c r="O235">
        <f t="shared" si="9"/>
        <v>0</v>
      </c>
    </row>
    <row r="236" spans="1:15" hidden="1" x14ac:dyDescent="0.25">
      <c r="A236">
        <v>235</v>
      </c>
      <c r="B236" t="s">
        <v>191</v>
      </c>
      <c r="C236" t="s">
        <v>22</v>
      </c>
      <c r="D236">
        <v>98600</v>
      </c>
      <c r="E236" t="s">
        <v>23</v>
      </c>
      <c r="F236" t="s">
        <v>9</v>
      </c>
      <c r="O236">
        <f t="shared" si="9"/>
        <v>0</v>
      </c>
    </row>
    <row r="237" spans="1:15" hidden="1" x14ac:dyDescent="0.25">
      <c r="A237">
        <v>236</v>
      </c>
      <c r="B237" t="s">
        <v>192</v>
      </c>
      <c r="C237" t="s">
        <v>25</v>
      </c>
      <c r="D237">
        <v>58500</v>
      </c>
      <c r="E237" t="s">
        <v>8</v>
      </c>
      <c r="F237" t="s">
        <v>9</v>
      </c>
      <c r="O237">
        <f t="shared" si="9"/>
        <v>0</v>
      </c>
    </row>
    <row r="238" spans="1:15" hidden="1" x14ac:dyDescent="0.25">
      <c r="A238">
        <v>237</v>
      </c>
      <c r="B238" t="s">
        <v>193</v>
      </c>
      <c r="C238" t="s">
        <v>27</v>
      </c>
      <c r="D238">
        <v>31900</v>
      </c>
      <c r="E238" t="s">
        <v>8</v>
      </c>
      <c r="F238" t="s">
        <v>20</v>
      </c>
      <c r="O238">
        <f t="shared" si="9"/>
        <v>0</v>
      </c>
    </row>
    <row r="239" spans="1:15" hidden="1" x14ac:dyDescent="0.25">
      <c r="A239">
        <v>238</v>
      </c>
      <c r="B239" t="s">
        <v>39</v>
      </c>
      <c r="C239" t="s">
        <v>29</v>
      </c>
      <c r="D239">
        <v>12000</v>
      </c>
      <c r="E239" t="s">
        <v>23</v>
      </c>
      <c r="F239" t="s">
        <v>9</v>
      </c>
      <c r="O239">
        <f t="shared" si="9"/>
        <v>0</v>
      </c>
    </row>
    <row r="240" spans="1:15" hidden="1" x14ac:dyDescent="0.25">
      <c r="A240">
        <v>239</v>
      </c>
      <c r="B240" t="s">
        <v>41</v>
      </c>
      <c r="C240" t="s">
        <v>31</v>
      </c>
      <c r="D240">
        <v>22400</v>
      </c>
      <c r="E240" t="s">
        <v>38</v>
      </c>
      <c r="F240" t="s">
        <v>20</v>
      </c>
      <c r="O240">
        <f t="shared" si="9"/>
        <v>0</v>
      </c>
    </row>
    <row r="241" spans="1:15" hidden="1" x14ac:dyDescent="0.25">
      <c r="A241">
        <v>240</v>
      </c>
      <c r="B241" t="s">
        <v>140</v>
      </c>
      <c r="C241" t="s">
        <v>33</v>
      </c>
      <c r="D241">
        <v>102100</v>
      </c>
      <c r="E241" t="s">
        <v>23</v>
      </c>
      <c r="F241" t="s">
        <v>9</v>
      </c>
      <c r="O241">
        <f t="shared" si="9"/>
        <v>0</v>
      </c>
    </row>
    <row r="242" spans="1:15" hidden="1" x14ac:dyDescent="0.25">
      <c r="A242">
        <v>241</v>
      </c>
      <c r="B242" t="s">
        <v>116</v>
      </c>
      <c r="C242" t="s">
        <v>7</v>
      </c>
      <c r="D242">
        <v>29500</v>
      </c>
      <c r="E242" t="s">
        <v>8</v>
      </c>
      <c r="F242" t="s">
        <v>9</v>
      </c>
      <c r="O242">
        <f t="shared" si="9"/>
        <v>0</v>
      </c>
    </row>
    <row r="243" spans="1:15" hidden="1" x14ac:dyDescent="0.25">
      <c r="A243">
        <v>242</v>
      </c>
      <c r="B243" t="s">
        <v>184</v>
      </c>
      <c r="C243" t="s">
        <v>11</v>
      </c>
      <c r="D243">
        <v>50600</v>
      </c>
      <c r="E243" t="s">
        <v>23</v>
      </c>
      <c r="F243" t="s">
        <v>9</v>
      </c>
      <c r="O243">
        <f t="shared" si="9"/>
        <v>0</v>
      </c>
    </row>
    <row r="244" spans="1:15" hidden="1" x14ac:dyDescent="0.25">
      <c r="A244">
        <v>243</v>
      </c>
      <c r="B244" t="s">
        <v>194</v>
      </c>
      <c r="C244" t="s">
        <v>13</v>
      </c>
      <c r="D244">
        <v>12300</v>
      </c>
      <c r="E244" t="s">
        <v>23</v>
      </c>
      <c r="F244" t="s">
        <v>9</v>
      </c>
      <c r="O244">
        <f t="shared" si="9"/>
        <v>0</v>
      </c>
    </row>
    <row r="245" spans="1:15" hidden="1" x14ac:dyDescent="0.25">
      <c r="A245">
        <v>244</v>
      </c>
      <c r="B245" t="s">
        <v>110</v>
      </c>
      <c r="C245" t="s">
        <v>15</v>
      </c>
      <c r="D245">
        <v>5700</v>
      </c>
      <c r="E245" t="s">
        <v>8</v>
      </c>
      <c r="F245" t="s">
        <v>9</v>
      </c>
      <c r="O245">
        <f t="shared" si="9"/>
        <v>0</v>
      </c>
    </row>
    <row r="246" spans="1:15" hidden="1" x14ac:dyDescent="0.25">
      <c r="A246">
        <v>245</v>
      </c>
      <c r="B246" t="s">
        <v>61</v>
      </c>
      <c r="C246" t="s">
        <v>17</v>
      </c>
      <c r="D246">
        <v>13400</v>
      </c>
      <c r="E246" t="s">
        <v>8</v>
      </c>
      <c r="F246" t="s">
        <v>20</v>
      </c>
      <c r="O246">
        <f t="shared" si="9"/>
        <v>0</v>
      </c>
    </row>
    <row r="247" spans="1:15" hidden="1" x14ac:dyDescent="0.25">
      <c r="A247">
        <v>246</v>
      </c>
      <c r="B247" t="s">
        <v>24</v>
      </c>
      <c r="C247" t="s">
        <v>19</v>
      </c>
      <c r="D247">
        <v>133000</v>
      </c>
      <c r="E247" t="s">
        <v>8</v>
      </c>
      <c r="F247" t="s">
        <v>9</v>
      </c>
      <c r="O247">
        <f t="shared" si="9"/>
        <v>0</v>
      </c>
    </row>
    <row r="248" spans="1:15" hidden="1" x14ac:dyDescent="0.25">
      <c r="A248">
        <v>247</v>
      </c>
      <c r="B248" t="s">
        <v>195</v>
      </c>
      <c r="C248" t="s">
        <v>22</v>
      </c>
      <c r="D248">
        <v>52700</v>
      </c>
      <c r="E248" t="s">
        <v>38</v>
      </c>
      <c r="F248" t="s">
        <v>9</v>
      </c>
      <c r="O248">
        <f t="shared" si="9"/>
        <v>0</v>
      </c>
    </row>
    <row r="249" spans="1:15" hidden="1" x14ac:dyDescent="0.25">
      <c r="A249">
        <v>248</v>
      </c>
      <c r="B249" t="s">
        <v>66</v>
      </c>
      <c r="C249" t="s">
        <v>25</v>
      </c>
      <c r="D249">
        <v>16400</v>
      </c>
      <c r="E249" t="s">
        <v>38</v>
      </c>
      <c r="F249" t="s">
        <v>20</v>
      </c>
      <c r="O249">
        <f t="shared" si="9"/>
        <v>0</v>
      </c>
    </row>
    <row r="250" spans="1:15" hidden="1" x14ac:dyDescent="0.25">
      <c r="A250">
        <v>249</v>
      </c>
      <c r="B250" t="s">
        <v>41</v>
      </c>
      <c r="C250" t="s">
        <v>27</v>
      </c>
      <c r="D250">
        <v>8300</v>
      </c>
      <c r="E250" t="s">
        <v>38</v>
      </c>
      <c r="F250" t="s">
        <v>20</v>
      </c>
      <c r="O250">
        <f t="shared" si="9"/>
        <v>0</v>
      </c>
    </row>
    <row r="251" spans="1:15" hidden="1" x14ac:dyDescent="0.25">
      <c r="A251">
        <v>250</v>
      </c>
      <c r="B251" t="s">
        <v>74</v>
      </c>
      <c r="C251" t="s">
        <v>29</v>
      </c>
      <c r="D251">
        <v>177100</v>
      </c>
      <c r="E251" t="s">
        <v>8</v>
      </c>
      <c r="F251" t="s">
        <v>9</v>
      </c>
      <c r="O251">
        <f t="shared" si="9"/>
        <v>0</v>
      </c>
    </row>
    <row r="252" spans="1:15" hidden="1" x14ac:dyDescent="0.25">
      <c r="A252">
        <v>251</v>
      </c>
      <c r="B252" t="s">
        <v>90</v>
      </c>
      <c r="C252" t="s">
        <v>31</v>
      </c>
      <c r="D252">
        <v>32500</v>
      </c>
      <c r="E252" t="s">
        <v>38</v>
      </c>
      <c r="F252" t="s">
        <v>20</v>
      </c>
      <c r="O252">
        <f t="shared" si="9"/>
        <v>0</v>
      </c>
    </row>
    <row r="253" spans="1:15" hidden="1" x14ac:dyDescent="0.25">
      <c r="A253">
        <v>252</v>
      </c>
      <c r="B253" t="s">
        <v>196</v>
      </c>
      <c r="C253" t="s">
        <v>33</v>
      </c>
      <c r="D253">
        <v>34300</v>
      </c>
      <c r="E253" t="s">
        <v>8</v>
      </c>
      <c r="F253" t="s">
        <v>9</v>
      </c>
      <c r="O253">
        <f t="shared" si="9"/>
        <v>0</v>
      </c>
    </row>
    <row r="254" spans="1:15" hidden="1" x14ac:dyDescent="0.25">
      <c r="A254">
        <v>253</v>
      </c>
      <c r="B254" t="s">
        <v>197</v>
      </c>
      <c r="C254" t="s">
        <v>7</v>
      </c>
      <c r="D254">
        <v>11900</v>
      </c>
      <c r="E254" t="s">
        <v>8</v>
      </c>
      <c r="F254" t="s">
        <v>9</v>
      </c>
      <c r="O254">
        <f t="shared" si="9"/>
        <v>0</v>
      </c>
    </row>
    <row r="255" spans="1:15" hidden="1" x14ac:dyDescent="0.25">
      <c r="A255">
        <v>254</v>
      </c>
      <c r="B255" t="s">
        <v>198</v>
      </c>
      <c r="C255" t="s">
        <v>11</v>
      </c>
      <c r="D255">
        <v>103300</v>
      </c>
      <c r="E255" t="s">
        <v>8</v>
      </c>
      <c r="F255" t="s">
        <v>9</v>
      </c>
      <c r="O255">
        <f t="shared" si="9"/>
        <v>0</v>
      </c>
    </row>
    <row r="256" spans="1:15" hidden="1" x14ac:dyDescent="0.25">
      <c r="A256">
        <v>255</v>
      </c>
      <c r="B256" t="s">
        <v>93</v>
      </c>
      <c r="C256" t="s">
        <v>13</v>
      </c>
      <c r="D256">
        <v>29900</v>
      </c>
      <c r="E256" t="s">
        <v>8</v>
      </c>
      <c r="F256" t="s">
        <v>9</v>
      </c>
      <c r="O256">
        <f t="shared" si="9"/>
        <v>0</v>
      </c>
    </row>
    <row r="257" spans="1:15" hidden="1" x14ac:dyDescent="0.25">
      <c r="A257">
        <v>256</v>
      </c>
      <c r="B257" t="s">
        <v>95</v>
      </c>
      <c r="C257" t="s">
        <v>15</v>
      </c>
      <c r="D257">
        <v>21300</v>
      </c>
      <c r="E257" t="s">
        <v>8</v>
      </c>
      <c r="F257" t="s">
        <v>9</v>
      </c>
      <c r="O257">
        <f t="shared" si="9"/>
        <v>0</v>
      </c>
    </row>
    <row r="258" spans="1:15" hidden="1" x14ac:dyDescent="0.25">
      <c r="A258">
        <v>257</v>
      </c>
      <c r="B258" t="s">
        <v>199</v>
      </c>
      <c r="C258" t="s">
        <v>17</v>
      </c>
      <c r="D258">
        <v>7500</v>
      </c>
      <c r="E258" t="s">
        <v>8</v>
      </c>
      <c r="F258" t="s">
        <v>9</v>
      </c>
      <c r="O258">
        <f t="shared" si="9"/>
        <v>0</v>
      </c>
    </row>
    <row r="259" spans="1:15" hidden="1" x14ac:dyDescent="0.25">
      <c r="A259">
        <v>258</v>
      </c>
      <c r="B259" t="s">
        <v>200</v>
      </c>
      <c r="C259" t="s">
        <v>19</v>
      </c>
      <c r="D259">
        <v>48900</v>
      </c>
      <c r="E259" t="s">
        <v>8</v>
      </c>
      <c r="F259" t="s">
        <v>9</v>
      </c>
      <c r="O259">
        <f t="shared" si="9"/>
        <v>0</v>
      </c>
    </row>
    <row r="260" spans="1:15" hidden="1" x14ac:dyDescent="0.25">
      <c r="A260">
        <v>259</v>
      </c>
      <c r="B260" t="s">
        <v>120</v>
      </c>
      <c r="C260" t="s">
        <v>22</v>
      </c>
      <c r="D260">
        <v>41200</v>
      </c>
      <c r="E260" t="s">
        <v>8</v>
      </c>
      <c r="F260" t="s">
        <v>9</v>
      </c>
      <c r="O260">
        <f t="shared" si="9"/>
        <v>0</v>
      </c>
    </row>
    <row r="261" spans="1:15" hidden="1" x14ac:dyDescent="0.25">
      <c r="A261">
        <v>260</v>
      </c>
      <c r="B261" t="s">
        <v>201</v>
      </c>
      <c r="C261" t="s">
        <v>25</v>
      </c>
      <c r="D261">
        <v>14000</v>
      </c>
      <c r="E261" t="s">
        <v>8</v>
      </c>
      <c r="F261" t="s">
        <v>9</v>
      </c>
      <c r="O261">
        <f t="shared" ref="O261:O324" si="10">N261*N261</f>
        <v>0</v>
      </c>
    </row>
    <row r="262" spans="1:15" hidden="1" x14ac:dyDescent="0.25">
      <c r="A262">
        <v>261</v>
      </c>
      <c r="B262" t="s">
        <v>202</v>
      </c>
      <c r="C262" t="s">
        <v>27</v>
      </c>
      <c r="D262">
        <v>26400</v>
      </c>
      <c r="E262" t="s">
        <v>8</v>
      </c>
      <c r="F262" t="s">
        <v>20</v>
      </c>
      <c r="O262">
        <f t="shared" si="10"/>
        <v>0</v>
      </c>
    </row>
    <row r="263" spans="1:15" hidden="1" x14ac:dyDescent="0.25">
      <c r="A263">
        <v>262</v>
      </c>
      <c r="B263" t="s">
        <v>78</v>
      </c>
      <c r="C263" t="s">
        <v>29</v>
      </c>
      <c r="D263">
        <v>10300</v>
      </c>
      <c r="E263" t="s">
        <v>23</v>
      </c>
      <c r="F263" t="s">
        <v>9</v>
      </c>
      <c r="O263">
        <f t="shared" si="10"/>
        <v>0</v>
      </c>
    </row>
    <row r="264" spans="1:15" hidden="1" x14ac:dyDescent="0.25">
      <c r="A264">
        <v>263</v>
      </c>
      <c r="B264" t="s">
        <v>97</v>
      </c>
      <c r="C264" t="s">
        <v>31</v>
      </c>
      <c r="D264">
        <v>13600</v>
      </c>
      <c r="E264" t="s">
        <v>8</v>
      </c>
      <c r="F264" t="s">
        <v>9</v>
      </c>
      <c r="O264">
        <f t="shared" si="10"/>
        <v>0</v>
      </c>
    </row>
    <row r="265" spans="1:15" hidden="1" x14ac:dyDescent="0.25">
      <c r="A265">
        <v>264</v>
      </c>
      <c r="B265" t="s">
        <v>168</v>
      </c>
      <c r="C265" t="s">
        <v>33</v>
      </c>
      <c r="D265">
        <v>113100</v>
      </c>
      <c r="E265" t="s">
        <v>8</v>
      </c>
      <c r="F265" t="s">
        <v>9</v>
      </c>
      <c r="O265">
        <f t="shared" si="10"/>
        <v>0</v>
      </c>
    </row>
    <row r="266" spans="1:15" hidden="1" x14ac:dyDescent="0.25">
      <c r="A266">
        <v>265</v>
      </c>
      <c r="B266" t="s">
        <v>203</v>
      </c>
      <c r="C266" t="s">
        <v>7</v>
      </c>
      <c r="D266">
        <v>9800</v>
      </c>
      <c r="E266" t="s">
        <v>8</v>
      </c>
      <c r="F266" t="s">
        <v>9</v>
      </c>
      <c r="O266">
        <f t="shared" si="10"/>
        <v>0</v>
      </c>
    </row>
    <row r="267" spans="1:15" hidden="1" x14ac:dyDescent="0.25">
      <c r="A267">
        <v>266</v>
      </c>
      <c r="B267" t="s">
        <v>204</v>
      </c>
      <c r="C267" t="s">
        <v>11</v>
      </c>
      <c r="D267">
        <v>36100</v>
      </c>
      <c r="E267" t="s">
        <v>8</v>
      </c>
      <c r="F267" t="s">
        <v>9</v>
      </c>
      <c r="O267">
        <f t="shared" si="10"/>
        <v>0</v>
      </c>
    </row>
    <row r="268" spans="1:15" hidden="1" x14ac:dyDescent="0.25">
      <c r="A268">
        <v>267</v>
      </c>
      <c r="B268" t="s">
        <v>205</v>
      </c>
      <c r="C268" t="s">
        <v>13</v>
      </c>
      <c r="D268">
        <v>60500</v>
      </c>
      <c r="E268" t="s">
        <v>8</v>
      </c>
      <c r="F268" t="s">
        <v>9</v>
      </c>
      <c r="O268">
        <f t="shared" si="10"/>
        <v>0</v>
      </c>
    </row>
    <row r="269" spans="1:15" hidden="1" x14ac:dyDescent="0.25">
      <c r="A269">
        <v>268</v>
      </c>
      <c r="B269" t="s">
        <v>206</v>
      </c>
      <c r="C269" t="s">
        <v>15</v>
      </c>
      <c r="D269">
        <v>79700</v>
      </c>
      <c r="E269" t="s">
        <v>8</v>
      </c>
      <c r="F269" t="s">
        <v>9</v>
      </c>
      <c r="O269">
        <f t="shared" si="10"/>
        <v>0</v>
      </c>
    </row>
    <row r="270" spans="1:15" hidden="1" x14ac:dyDescent="0.25">
      <c r="A270">
        <v>269</v>
      </c>
      <c r="B270" t="s">
        <v>207</v>
      </c>
      <c r="C270" t="s">
        <v>17</v>
      </c>
      <c r="D270">
        <v>12600</v>
      </c>
      <c r="E270" t="s">
        <v>8</v>
      </c>
      <c r="F270" t="s">
        <v>9</v>
      </c>
      <c r="O270">
        <f t="shared" si="10"/>
        <v>0</v>
      </c>
    </row>
    <row r="271" spans="1:15" hidden="1" x14ac:dyDescent="0.25">
      <c r="A271">
        <v>270</v>
      </c>
      <c r="B271" t="s">
        <v>208</v>
      </c>
      <c r="C271" t="s">
        <v>19</v>
      </c>
      <c r="D271">
        <v>42200</v>
      </c>
      <c r="E271" t="s">
        <v>8</v>
      </c>
      <c r="F271" t="s">
        <v>9</v>
      </c>
      <c r="O271">
        <f t="shared" si="10"/>
        <v>0</v>
      </c>
    </row>
    <row r="272" spans="1:15" hidden="1" x14ac:dyDescent="0.25">
      <c r="A272">
        <v>271</v>
      </c>
      <c r="B272" t="s">
        <v>158</v>
      </c>
      <c r="C272" t="s">
        <v>22</v>
      </c>
      <c r="D272">
        <v>41000</v>
      </c>
      <c r="E272" t="s">
        <v>8</v>
      </c>
      <c r="F272" t="s">
        <v>9</v>
      </c>
      <c r="O272">
        <f t="shared" si="10"/>
        <v>0</v>
      </c>
    </row>
    <row r="273" spans="1:15" hidden="1" x14ac:dyDescent="0.25">
      <c r="A273">
        <v>272</v>
      </c>
      <c r="B273" t="s">
        <v>158</v>
      </c>
      <c r="C273" t="s">
        <v>25</v>
      </c>
      <c r="D273">
        <v>15300</v>
      </c>
      <c r="E273" t="s">
        <v>8</v>
      </c>
      <c r="F273" t="s">
        <v>9</v>
      </c>
      <c r="O273">
        <f t="shared" si="10"/>
        <v>0</v>
      </c>
    </row>
    <row r="274" spans="1:15" hidden="1" x14ac:dyDescent="0.25">
      <c r="A274">
        <v>273</v>
      </c>
      <c r="B274" t="s">
        <v>95</v>
      </c>
      <c r="C274" t="s">
        <v>27</v>
      </c>
      <c r="D274">
        <v>30300</v>
      </c>
      <c r="E274" t="s">
        <v>8</v>
      </c>
      <c r="F274" t="s">
        <v>9</v>
      </c>
      <c r="O274">
        <f t="shared" si="10"/>
        <v>0</v>
      </c>
    </row>
    <row r="275" spans="1:15" hidden="1" x14ac:dyDescent="0.25">
      <c r="A275">
        <v>274</v>
      </c>
      <c r="B275" t="s">
        <v>83</v>
      </c>
      <c r="C275" t="s">
        <v>29</v>
      </c>
      <c r="D275">
        <v>92500</v>
      </c>
      <c r="E275" t="s">
        <v>8</v>
      </c>
      <c r="F275" t="s">
        <v>9</v>
      </c>
      <c r="O275">
        <f t="shared" si="10"/>
        <v>0</v>
      </c>
    </row>
    <row r="276" spans="1:15" hidden="1" x14ac:dyDescent="0.25">
      <c r="A276">
        <v>275</v>
      </c>
      <c r="B276" t="s">
        <v>177</v>
      </c>
      <c r="C276" t="s">
        <v>31</v>
      </c>
      <c r="D276">
        <v>54700</v>
      </c>
      <c r="E276" t="s">
        <v>8</v>
      </c>
      <c r="F276" t="s">
        <v>9</v>
      </c>
      <c r="O276">
        <f t="shared" si="10"/>
        <v>0</v>
      </c>
    </row>
    <row r="277" spans="1:15" hidden="1" x14ac:dyDescent="0.25">
      <c r="A277">
        <v>276</v>
      </c>
      <c r="B277" t="s">
        <v>46</v>
      </c>
      <c r="C277" t="s">
        <v>33</v>
      </c>
      <c r="D277">
        <v>54000</v>
      </c>
      <c r="E277" t="s">
        <v>8</v>
      </c>
      <c r="F277" t="s">
        <v>9</v>
      </c>
      <c r="O277">
        <f t="shared" si="10"/>
        <v>0</v>
      </c>
    </row>
    <row r="278" spans="1:15" x14ac:dyDescent="0.25">
      <c r="A278">
        <v>277</v>
      </c>
      <c r="B278" t="s">
        <v>43</v>
      </c>
      <c r="C278" t="s">
        <v>7</v>
      </c>
      <c r="D278">
        <v>500000</v>
      </c>
      <c r="E278" t="s">
        <v>8</v>
      </c>
      <c r="F278" t="s">
        <v>20</v>
      </c>
      <c r="O278">
        <f t="shared" si="10"/>
        <v>0</v>
      </c>
    </row>
    <row r="279" spans="1:15" hidden="1" x14ac:dyDescent="0.25">
      <c r="A279">
        <v>278</v>
      </c>
      <c r="B279" t="s">
        <v>209</v>
      </c>
      <c r="C279" t="s">
        <v>11</v>
      </c>
      <c r="D279">
        <v>30400</v>
      </c>
      <c r="E279" t="s">
        <v>8</v>
      </c>
      <c r="F279" t="s">
        <v>9</v>
      </c>
      <c r="O279">
        <f t="shared" si="10"/>
        <v>0</v>
      </c>
    </row>
    <row r="280" spans="1:15" hidden="1" x14ac:dyDescent="0.25">
      <c r="A280">
        <v>279</v>
      </c>
      <c r="B280" t="s">
        <v>210</v>
      </c>
      <c r="C280" t="s">
        <v>13</v>
      </c>
      <c r="D280">
        <v>7400</v>
      </c>
      <c r="E280" t="s">
        <v>8</v>
      </c>
      <c r="F280" t="s">
        <v>9</v>
      </c>
      <c r="O280">
        <f t="shared" si="10"/>
        <v>0</v>
      </c>
    </row>
    <row r="281" spans="1:15" hidden="1" x14ac:dyDescent="0.25">
      <c r="A281">
        <v>280</v>
      </c>
      <c r="B281" t="s">
        <v>211</v>
      </c>
      <c r="C281" t="s">
        <v>15</v>
      </c>
      <c r="D281">
        <v>70300</v>
      </c>
      <c r="E281" t="s">
        <v>38</v>
      </c>
      <c r="F281" t="s">
        <v>20</v>
      </c>
      <c r="O281">
        <f t="shared" si="10"/>
        <v>0</v>
      </c>
    </row>
    <row r="282" spans="1:15" hidden="1" x14ac:dyDescent="0.25">
      <c r="A282">
        <v>281</v>
      </c>
      <c r="B282" t="s">
        <v>212</v>
      </c>
      <c r="C282" t="s">
        <v>17</v>
      </c>
      <c r="D282">
        <v>32500</v>
      </c>
      <c r="E282" t="s">
        <v>8</v>
      </c>
      <c r="F282" t="s">
        <v>9</v>
      </c>
      <c r="O282">
        <f t="shared" si="10"/>
        <v>0</v>
      </c>
    </row>
    <row r="283" spans="1:15" hidden="1" x14ac:dyDescent="0.25">
      <c r="A283">
        <v>282</v>
      </c>
      <c r="B283" t="s">
        <v>213</v>
      </c>
      <c r="C283" t="s">
        <v>19</v>
      </c>
      <c r="D283">
        <v>18200</v>
      </c>
      <c r="E283" t="s">
        <v>8</v>
      </c>
      <c r="F283" t="s">
        <v>9</v>
      </c>
      <c r="O283">
        <f t="shared" si="10"/>
        <v>0</v>
      </c>
    </row>
    <row r="284" spans="1:15" hidden="1" x14ac:dyDescent="0.25">
      <c r="A284">
        <v>283</v>
      </c>
      <c r="B284" t="s">
        <v>81</v>
      </c>
      <c r="C284" t="s">
        <v>22</v>
      </c>
      <c r="D284">
        <v>23100</v>
      </c>
      <c r="E284" t="s">
        <v>8</v>
      </c>
      <c r="F284" t="s">
        <v>9</v>
      </c>
      <c r="O284">
        <f t="shared" si="10"/>
        <v>0</v>
      </c>
    </row>
    <row r="285" spans="1:15" hidden="1" x14ac:dyDescent="0.25">
      <c r="A285">
        <v>284</v>
      </c>
      <c r="B285" t="s">
        <v>214</v>
      </c>
      <c r="C285" t="s">
        <v>25</v>
      </c>
      <c r="D285">
        <v>13600</v>
      </c>
      <c r="E285" t="s">
        <v>8</v>
      </c>
      <c r="F285" t="s">
        <v>20</v>
      </c>
      <c r="O285">
        <f t="shared" si="10"/>
        <v>0</v>
      </c>
    </row>
    <row r="286" spans="1:15" hidden="1" x14ac:dyDescent="0.25">
      <c r="A286">
        <v>285</v>
      </c>
      <c r="B286" t="s">
        <v>215</v>
      </c>
      <c r="C286" t="s">
        <v>27</v>
      </c>
      <c r="D286">
        <v>37500</v>
      </c>
      <c r="E286" t="s">
        <v>23</v>
      </c>
      <c r="F286" t="s">
        <v>9</v>
      </c>
      <c r="O286">
        <f t="shared" si="10"/>
        <v>0</v>
      </c>
    </row>
    <row r="287" spans="1:15" hidden="1" x14ac:dyDescent="0.25">
      <c r="A287">
        <v>286</v>
      </c>
      <c r="B287" t="s">
        <v>216</v>
      </c>
      <c r="C287" t="s">
        <v>29</v>
      </c>
      <c r="D287">
        <v>18900</v>
      </c>
      <c r="E287" t="s">
        <v>8</v>
      </c>
      <c r="F287" t="s">
        <v>9</v>
      </c>
      <c r="O287">
        <f t="shared" si="10"/>
        <v>0</v>
      </c>
    </row>
    <row r="288" spans="1:15" hidden="1" x14ac:dyDescent="0.25">
      <c r="A288">
        <v>287</v>
      </c>
      <c r="B288" t="s">
        <v>217</v>
      </c>
      <c r="C288" t="s">
        <v>31</v>
      </c>
      <c r="D288">
        <v>17100</v>
      </c>
      <c r="E288" t="s">
        <v>8</v>
      </c>
      <c r="F288" t="s">
        <v>9</v>
      </c>
      <c r="O288">
        <f t="shared" si="10"/>
        <v>0</v>
      </c>
    </row>
    <row r="289" spans="1:15" hidden="1" x14ac:dyDescent="0.25">
      <c r="A289">
        <v>288</v>
      </c>
      <c r="B289" t="s">
        <v>218</v>
      </c>
      <c r="C289" t="s">
        <v>33</v>
      </c>
      <c r="D289">
        <v>140700</v>
      </c>
      <c r="E289" t="s">
        <v>23</v>
      </c>
      <c r="F289" t="s">
        <v>9</v>
      </c>
      <c r="O289">
        <f t="shared" si="10"/>
        <v>0</v>
      </c>
    </row>
    <row r="290" spans="1:15" hidden="1" x14ac:dyDescent="0.25">
      <c r="A290">
        <v>289</v>
      </c>
      <c r="B290" t="s">
        <v>219</v>
      </c>
      <c r="C290" t="s">
        <v>7</v>
      </c>
      <c r="D290">
        <v>71200</v>
      </c>
      <c r="E290" t="s">
        <v>23</v>
      </c>
      <c r="F290" t="s">
        <v>9</v>
      </c>
      <c r="O290">
        <f t="shared" si="10"/>
        <v>0</v>
      </c>
    </row>
    <row r="291" spans="1:15" hidden="1" x14ac:dyDescent="0.25">
      <c r="A291">
        <v>290</v>
      </c>
      <c r="B291" t="s">
        <v>176</v>
      </c>
      <c r="C291" t="s">
        <v>11</v>
      </c>
      <c r="D291">
        <v>103300</v>
      </c>
      <c r="E291" t="s">
        <v>23</v>
      </c>
      <c r="F291" t="s">
        <v>9</v>
      </c>
      <c r="O291">
        <f t="shared" si="10"/>
        <v>0</v>
      </c>
    </row>
    <row r="292" spans="1:15" hidden="1" x14ac:dyDescent="0.25">
      <c r="A292">
        <v>291</v>
      </c>
      <c r="B292" t="s">
        <v>135</v>
      </c>
      <c r="C292" t="s">
        <v>13</v>
      </c>
      <c r="D292">
        <v>16300</v>
      </c>
      <c r="E292" t="s">
        <v>8</v>
      </c>
      <c r="F292" t="s">
        <v>9</v>
      </c>
      <c r="O292">
        <f t="shared" si="10"/>
        <v>0</v>
      </c>
    </row>
    <row r="293" spans="1:15" hidden="1" x14ac:dyDescent="0.25">
      <c r="A293">
        <v>292</v>
      </c>
      <c r="B293" t="s">
        <v>220</v>
      </c>
      <c r="C293" t="s">
        <v>15</v>
      </c>
      <c r="D293">
        <v>15800</v>
      </c>
      <c r="E293" t="s">
        <v>8</v>
      </c>
      <c r="F293" t="s">
        <v>9</v>
      </c>
      <c r="O293">
        <f t="shared" si="10"/>
        <v>0</v>
      </c>
    </row>
    <row r="294" spans="1:15" hidden="1" x14ac:dyDescent="0.25">
      <c r="A294">
        <v>293</v>
      </c>
      <c r="B294" t="s">
        <v>10</v>
      </c>
      <c r="C294" t="s">
        <v>17</v>
      </c>
      <c r="D294">
        <v>10900</v>
      </c>
      <c r="E294" t="s">
        <v>8</v>
      </c>
      <c r="F294" t="s">
        <v>20</v>
      </c>
      <c r="O294">
        <f t="shared" si="10"/>
        <v>0</v>
      </c>
    </row>
    <row r="295" spans="1:15" hidden="1" x14ac:dyDescent="0.25">
      <c r="A295">
        <v>294</v>
      </c>
      <c r="B295" t="s">
        <v>35</v>
      </c>
      <c r="C295" t="s">
        <v>19</v>
      </c>
      <c r="D295">
        <v>60600</v>
      </c>
      <c r="E295" t="s">
        <v>23</v>
      </c>
      <c r="F295" t="s">
        <v>9</v>
      </c>
      <c r="O295">
        <f t="shared" si="10"/>
        <v>0</v>
      </c>
    </row>
    <row r="296" spans="1:15" hidden="1" x14ac:dyDescent="0.25">
      <c r="A296">
        <v>295</v>
      </c>
      <c r="B296" t="s">
        <v>108</v>
      </c>
      <c r="C296" t="s">
        <v>22</v>
      </c>
      <c r="D296">
        <v>67600</v>
      </c>
      <c r="E296" t="s">
        <v>23</v>
      </c>
      <c r="F296" t="s">
        <v>9</v>
      </c>
      <c r="O296">
        <f t="shared" si="10"/>
        <v>0</v>
      </c>
    </row>
    <row r="297" spans="1:15" hidden="1" x14ac:dyDescent="0.25">
      <c r="A297">
        <v>296</v>
      </c>
      <c r="B297" t="s">
        <v>70</v>
      </c>
      <c r="C297" t="s">
        <v>25</v>
      </c>
      <c r="D297">
        <v>45000</v>
      </c>
      <c r="E297" t="s">
        <v>8</v>
      </c>
      <c r="F297" t="s">
        <v>9</v>
      </c>
      <c r="O297">
        <f t="shared" si="10"/>
        <v>0</v>
      </c>
    </row>
    <row r="298" spans="1:15" hidden="1" x14ac:dyDescent="0.25">
      <c r="A298">
        <v>297</v>
      </c>
      <c r="B298" t="s">
        <v>221</v>
      </c>
      <c r="C298" t="s">
        <v>27</v>
      </c>
      <c r="D298">
        <v>59300</v>
      </c>
      <c r="E298" t="s">
        <v>8</v>
      </c>
      <c r="F298" t="s">
        <v>9</v>
      </c>
      <c r="O298">
        <f t="shared" si="10"/>
        <v>0</v>
      </c>
    </row>
    <row r="299" spans="1:15" hidden="1" x14ac:dyDescent="0.25">
      <c r="A299">
        <v>298</v>
      </c>
      <c r="B299" t="s">
        <v>222</v>
      </c>
      <c r="C299" t="s">
        <v>29</v>
      </c>
      <c r="D299">
        <v>117500</v>
      </c>
      <c r="E299" t="s">
        <v>38</v>
      </c>
      <c r="F299" t="s">
        <v>9</v>
      </c>
      <c r="O299">
        <f t="shared" si="10"/>
        <v>0</v>
      </c>
    </row>
    <row r="300" spans="1:15" hidden="1" x14ac:dyDescent="0.25">
      <c r="A300">
        <v>299</v>
      </c>
      <c r="B300" t="s">
        <v>116</v>
      </c>
      <c r="C300" t="s">
        <v>31</v>
      </c>
      <c r="D300">
        <v>25500</v>
      </c>
      <c r="E300" t="s">
        <v>8</v>
      </c>
      <c r="F300" t="s">
        <v>9</v>
      </c>
      <c r="O300">
        <f t="shared" si="10"/>
        <v>0</v>
      </c>
    </row>
    <row r="301" spans="1:15" hidden="1" x14ac:dyDescent="0.25">
      <c r="A301">
        <v>300</v>
      </c>
      <c r="B301" t="s">
        <v>223</v>
      </c>
      <c r="C301" t="s">
        <v>33</v>
      </c>
      <c r="D301">
        <v>59300</v>
      </c>
      <c r="E301" t="s">
        <v>8</v>
      </c>
      <c r="F301" t="s">
        <v>20</v>
      </c>
      <c r="O301">
        <f t="shared" si="10"/>
        <v>0</v>
      </c>
    </row>
    <row r="302" spans="1:15" hidden="1" x14ac:dyDescent="0.25">
      <c r="A302">
        <v>301</v>
      </c>
      <c r="B302" t="s">
        <v>120</v>
      </c>
      <c r="C302" t="s">
        <v>7</v>
      </c>
      <c r="D302">
        <v>15600</v>
      </c>
      <c r="E302" t="s">
        <v>8</v>
      </c>
      <c r="F302" t="s">
        <v>9</v>
      </c>
      <c r="O302">
        <f t="shared" si="10"/>
        <v>0</v>
      </c>
    </row>
    <row r="303" spans="1:15" hidden="1" x14ac:dyDescent="0.25">
      <c r="A303">
        <v>302</v>
      </c>
      <c r="B303" t="s">
        <v>113</v>
      </c>
      <c r="C303" t="s">
        <v>11</v>
      </c>
      <c r="D303">
        <v>9300</v>
      </c>
      <c r="E303" t="s">
        <v>8</v>
      </c>
      <c r="F303" t="s">
        <v>9</v>
      </c>
      <c r="O303">
        <f t="shared" si="10"/>
        <v>0</v>
      </c>
    </row>
    <row r="304" spans="1:15" hidden="1" x14ac:dyDescent="0.25">
      <c r="A304">
        <v>303</v>
      </c>
      <c r="B304" t="s">
        <v>209</v>
      </c>
      <c r="C304" t="s">
        <v>13</v>
      </c>
      <c r="D304">
        <v>35200</v>
      </c>
      <c r="E304" t="s">
        <v>8</v>
      </c>
      <c r="F304" t="s">
        <v>9</v>
      </c>
      <c r="O304">
        <f t="shared" si="10"/>
        <v>0</v>
      </c>
    </row>
    <row r="305" spans="1:15" hidden="1" x14ac:dyDescent="0.25">
      <c r="A305">
        <v>304</v>
      </c>
      <c r="B305" t="s">
        <v>224</v>
      </c>
      <c r="C305" t="s">
        <v>15</v>
      </c>
      <c r="D305">
        <v>5000</v>
      </c>
      <c r="E305" t="s">
        <v>23</v>
      </c>
      <c r="F305" t="s">
        <v>9</v>
      </c>
      <c r="O305">
        <f t="shared" si="10"/>
        <v>0</v>
      </c>
    </row>
    <row r="306" spans="1:15" hidden="1" x14ac:dyDescent="0.25">
      <c r="A306">
        <v>305</v>
      </c>
      <c r="B306" t="s">
        <v>225</v>
      </c>
      <c r="C306" t="s">
        <v>17</v>
      </c>
      <c r="D306">
        <v>62700</v>
      </c>
      <c r="E306" t="s">
        <v>23</v>
      </c>
      <c r="F306" t="s">
        <v>9</v>
      </c>
      <c r="O306">
        <f t="shared" si="10"/>
        <v>0</v>
      </c>
    </row>
    <row r="307" spans="1:15" hidden="1" x14ac:dyDescent="0.25">
      <c r="A307">
        <v>306</v>
      </c>
      <c r="B307" t="s">
        <v>226</v>
      </c>
      <c r="C307" t="s">
        <v>19</v>
      </c>
      <c r="D307">
        <v>64300</v>
      </c>
      <c r="E307" t="s">
        <v>8</v>
      </c>
      <c r="F307" t="s">
        <v>9</v>
      </c>
      <c r="O307">
        <f t="shared" si="10"/>
        <v>0</v>
      </c>
    </row>
    <row r="308" spans="1:15" hidden="1" x14ac:dyDescent="0.25">
      <c r="A308">
        <v>307</v>
      </c>
      <c r="B308" t="s">
        <v>217</v>
      </c>
      <c r="C308" t="s">
        <v>22</v>
      </c>
      <c r="D308">
        <v>80700</v>
      </c>
      <c r="E308" t="s">
        <v>8</v>
      </c>
      <c r="F308" t="s">
        <v>9</v>
      </c>
      <c r="O308">
        <f t="shared" si="10"/>
        <v>0</v>
      </c>
    </row>
    <row r="309" spans="1:15" hidden="1" x14ac:dyDescent="0.25">
      <c r="A309">
        <v>308</v>
      </c>
      <c r="B309" t="s">
        <v>227</v>
      </c>
      <c r="C309" t="s">
        <v>25</v>
      </c>
      <c r="D309">
        <v>36300</v>
      </c>
      <c r="E309" t="s">
        <v>8</v>
      </c>
      <c r="F309" t="s">
        <v>9</v>
      </c>
      <c r="O309">
        <f t="shared" si="10"/>
        <v>0</v>
      </c>
    </row>
    <row r="310" spans="1:15" hidden="1" x14ac:dyDescent="0.25">
      <c r="A310">
        <v>309</v>
      </c>
      <c r="B310" t="s">
        <v>37</v>
      </c>
      <c r="C310" t="s">
        <v>27</v>
      </c>
      <c r="D310">
        <v>8000</v>
      </c>
      <c r="E310" t="s">
        <v>8</v>
      </c>
      <c r="F310" t="s">
        <v>9</v>
      </c>
      <c r="O310">
        <f t="shared" si="10"/>
        <v>0</v>
      </c>
    </row>
    <row r="311" spans="1:15" hidden="1" x14ac:dyDescent="0.25">
      <c r="A311">
        <v>310</v>
      </c>
      <c r="B311" t="s">
        <v>228</v>
      </c>
      <c r="C311" t="s">
        <v>29</v>
      </c>
      <c r="D311">
        <v>5400</v>
      </c>
      <c r="E311" t="s">
        <v>38</v>
      </c>
      <c r="F311" t="s">
        <v>9</v>
      </c>
      <c r="O311">
        <f t="shared" si="10"/>
        <v>0</v>
      </c>
    </row>
    <row r="312" spans="1:15" hidden="1" x14ac:dyDescent="0.25">
      <c r="A312">
        <v>311</v>
      </c>
      <c r="B312" t="s">
        <v>229</v>
      </c>
      <c r="C312" t="s">
        <v>31</v>
      </c>
      <c r="D312">
        <v>17700</v>
      </c>
      <c r="E312" t="s">
        <v>8</v>
      </c>
      <c r="F312" t="s">
        <v>9</v>
      </c>
      <c r="O312">
        <f t="shared" si="10"/>
        <v>0</v>
      </c>
    </row>
    <row r="313" spans="1:15" hidden="1" x14ac:dyDescent="0.25">
      <c r="A313">
        <v>312</v>
      </c>
      <c r="B313" t="s">
        <v>83</v>
      </c>
      <c r="C313" t="s">
        <v>33</v>
      </c>
      <c r="D313">
        <v>107600</v>
      </c>
      <c r="E313" t="s">
        <v>38</v>
      </c>
      <c r="F313" t="s">
        <v>20</v>
      </c>
      <c r="O313">
        <f t="shared" si="10"/>
        <v>0</v>
      </c>
    </row>
    <row r="314" spans="1:15" x14ac:dyDescent="0.25">
      <c r="A314">
        <v>313</v>
      </c>
      <c r="B314" t="s">
        <v>12</v>
      </c>
      <c r="C314" t="s">
        <v>25</v>
      </c>
      <c r="D314">
        <v>0</v>
      </c>
      <c r="E314" t="s">
        <v>8</v>
      </c>
      <c r="F314" t="s">
        <v>9</v>
      </c>
      <c r="O314">
        <f t="shared" si="10"/>
        <v>0</v>
      </c>
    </row>
    <row r="315" spans="1:15" hidden="1" x14ac:dyDescent="0.25">
      <c r="A315">
        <v>314</v>
      </c>
      <c r="B315" t="s">
        <v>227</v>
      </c>
      <c r="C315" t="s">
        <v>11</v>
      </c>
      <c r="D315">
        <v>39700</v>
      </c>
      <c r="E315" t="s">
        <v>38</v>
      </c>
      <c r="F315" t="s">
        <v>20</v>
      </c>
      <c r="O315">
        <f t="shared" si="10"/>
        <v>0</v>
      </c>
    </row>
    <row r="316" spans="1:15" hidden="1" x14ac:dyDescent="0.25">
      <c r="A316">
        <v>315</v>
      </c>
      <c r="B316" t="s">
        <v>28</v>
      </c>
      <c r="C316" t="s">
        <v>13</v>
      </c>
      <c r="D316">
        <v>5800</v>
      </c>
      <c r="E316" t="s">
        <v>38</v>
      </c>
      <c r="F316" t="s">
        <v>20</v>
      </c>
      <c r="O316">
        <f t="shared" si="10"/>
        <v>0</v>
      </c>
    </row>
    <row r="317" spans="1:15" hidden="1" x14ac:dyDescent="0.25">
      <c r="A317">
        <v>316</v>
      </c>
      <c r="B317" t="s">
        <v>230</v>
      </c>
      <c r="C317" t="s">
        <v>15</v>
      </c>
      <c r="D317">
        <v>176400</v>
      </c>
      <c r="E317" t="s">
        <v>23</v>
      </c>
      <c r="F317" t="s">
        <v>9</v>
      </c>
      <c r="O317">
        <f t="shared" si="10"/>
        <v>0</v>
      </c>
    </row>
    <row r="318" spans="1:15" hidden="1" x14ac:dyDescent="0.25">
      <c r="A318">
        <v>317</v>
      </c>
      <c r="B318" t="s">
        <v>231</v>
      </c>
      <c r="C318" t="s">
        <v>17</v>
      </c>
      <c r="D318">
        <v>105700</v>
      </c>
      <c r="E318" t="s">
        <v>8</v>
      </c>
      <c r="F318" t="s">
        <v>9</v>
      </c>
      <c r="O318">
        <f t="shared" si="10"/>
        <v>0</v>
      </c>
    </row>
    <row r="319" spans="1:15" hidden="1" x14ac:dyDescent="0.25">
      <c r="A319">
        <v>318</v>
      </c>
      <c r="B319" t="s">
        <v>232</v>
      </c>
      <c r="C319" t="s">
        <v>19</v>
      </c>
      <c r="D319">
        <v>24300</v>
      </c>
      <c r="E319" t="s">
        <v>23</v>
      </c>
      <c r="F319" t="s">
        <v>9</v>
      </c>
      <c r="O319">
        <f t="shared" si="10"/>
        <v>0</v>
      </c>
    </row>
    <row r="320" spans="1:15" hidden="1" x14ac:dyDescent="0.25">
      <c r="A320">
        <v>319</v>
      </c>
      <c r="B320" t="s">
        <v>191</v>
      </c>
      <c r="C320" t="s">
        <v>22</v>
      </c>
      <c r="D320">
        <v>17300</v>
      </c>
      <c r="E320" t="s">
        <v>23</v>
      </c>
      <c r="F320" t="s">
        <v>9</v>
      </c>
      <c r="O320">
        <f t="shared" si="10"/>
        <v>0</v>
      </c>
    </row>
    <row r="321" spans="1:15" hidden="1" x14ac:dyDescent="0.25">
      <c r="A321">
        <v>320</v>
      </c>
      <c r="B321" t="s">
        <v>46</v>
      </c>
      <c r="C321" t="s">
        <v>25</v>
      </c>
      <c r="D321">
        <v>56600</v>
      </c>
      <c r="E321" t="s">
        <v>8</v>
      </c>
      <c r="F321" t="s">
        <v>9</v>
      </c>
      <c r="O321">
        <f t="shared" si="10"/>
        <v>0</v>
      </c>
    </row>
    <row r="322" spans="1:15" hidden="1" x14ac:dyDescent="0.25">
      <c r="A322">
        <v>321</v>
      </c>
      <c r="B322" t="s">
        <v>79</v>
      </c>
      <c r="C322" t="s">
        <v>27</v>
      </c>
      <c r="D322">
        <v>37100</v>
      </c>
      <c r="E322" t="s">
        <v>38</v>
      </c>
      <c r="F322" t="s">
        <v>20</v>
      </c>
      <c r="O322">
        <f t="shared" si="10"/>
        <v>0</v>
      </c>
    </row>
    <row r="323" spans="1:15" hidden="1" x14ac:dyDescent="0.25">
      <c r="A323">
        <v>322</v>
      </c>
      <c r="B323" t="s">
        <v>233</v>
      </c>
      <c r="C323" t="s">
        <v>29</v>
      </c>
      <c r="D323">
        <v>13700</v>
      </c>
      <c r="E323" t="s">
        <v>8</v>
      </c>
      <c r="F323" t="s">
        <v>9</v>
      </c>
      <c r="O323">
        <f t="shared" si="10"/>
        <v>0</v>
      </c>
    </row>
    <row r="324" spans="1:15" hidden="1" x14ac:dyDescent="0.25">
      <c r="A324">
        <v>323</v>
      </c>
      <c r="B324" t="s">
        <v>234</v>
      </c>
      <c r="C324" t="s">
        <v>31</v>
      </c>
      <c r="D324">
        <v>14400</v>
      </c>
      <c r="E324" t="s">
        <v>8</v>
      </c>
      <c r="F324" t="s">
        <v>9</v>
      </c>
      <c r="O324">
        <f t="shared" si="10"/>
        <v>0</v>
      </c>
    </row>
    <row r="325" spans="1:15" hidden="1" x14ac:dyDescent="0.25">
      <c r="A325">
        <v>324</v>
      </c>
      <c r="B325" t="s">
        <v>235</v>
      </c>
      <c r="C325" t="s">
        <v>33</v>
      </c>
      <c r="D325">
        <v>17300</v>
      </c>
      <c r="E325" t="s">
        <v>8</v>
      </c>
      <c r="F325" t="s">
        <v>9</v>
      </c>
      <c r="O325">
        <f t="shared" ref="O325:O388" si="11">N325*N325</f>
        <v>0</v>
      </c>
    </row>
    <row r="326" spans="1:15" hidden="1" x14ac:dyDescent="0.25">
      <c r="A326">
        <v>325</v>
      </c>
      <c r="B326" t="s">
        <v>28</v>
      </c>
      <c r="C326" t="s">
        <v>7</v>
      </c>
      <c r="D326">
        <v>106700</v>
      </c>
      <c r="E326" t="s">
        <v>23</v>
      </c>
      <c r="F326" t="s">
        <v>9</v>
      </c>
      <c r="O326">
        <f t="shared" si="11"/>
        <v>0</v>
      </c>
    </row>
    <row r="327" spans="1:15" hidden="1" x14ac:dyDescent="0.25">
      <c r="A327">
        <v>326</v>
      </c>
      <c r="B327" t="s">
        <v>236</v>
      </c>
      <c r="C327" t="s">
        <v>11</v>
      </c>
      <c r="D327">
        <v>13200</v>
      </c>
      <c r="E327" t="s">
        <v>8</v>
      </c>
      <c r="F327" t="s">
        <v>9</v>
      </c>
      <c r="O327">
        <f t="shared" si="11"/>
        <v>0</v>
      </c>
    </row>
    <row r="328" spans="1:15" hidden="1" x14ac:dyDescent="0.25">
      <c r="A328">
        <v>327</v>
      </c>
      <c r="B328" t="s">
        <v>237</v>
      </c>
      <c r="C328" t="s">
        <v>13</v>
      </c>
      <c r="D328">
        <v>52900</v>
      </c>
      <c r="E328" t="s">
        <v>38</v>
      </c>
      <c r="F328" t="s">
        <v>9</v>
      </c>
      <c r="O328">
        <f t="shared" si="11"/>
        <v>0</v>
      </c>
    </row>
    <row r="329" spans="1:15" hidden="1" x14ac:dyDescent="0.25">
      <c r="A329">
        <v>328</v>
      </c>
      <c r="B329" t="s">
        <v>170</v>
      </c>
      <c r="C329" t="s">
        <v>15</v>
      </c>
      <c r="D329">
        <v>93600</v>
      </c>
      <c r="E329" t="s">
        <v>8</v>
      </c>
      <c r="F329" t="s">
        <v>9</v>
      </c>
      <c r="O329">
        <f t="shared" si="11"/>
        <v>0</v>
      </c>
    </row>
    <row r="330" spans="1:15" hidden="1" x14ac:dyDescent="0.25">
      <c r="A330">
        <v>329</v>
      </c>
      <c r="B330" t="s">
        <v>96</v>
      </c>
      <c r="C330" t="s">
        <v>17</v>
      </c>
      <c r="D330">
        <v>34100</v>
      </c>
      <c r="E330" t="s">
        <v>8</v>
      </c>
      <c r="F330" t="s">
        <v>9</v>
      </c>
      <c r="O330">
        <f t="shared" si="11"/>
        <v>0</v>
      </c>
    </row>
    <row r="331" spans="1:15" hidden="1" x14ac:dyDescent="0.25">
      <c r="A331">
        <v>330</v>
      </c>
      <c r="B331" t="s">
        <v>130</v>
      </c>
      <c r="C331" t="s">
        <v>19</v>
      </c>
      <c r="D331">
        <v>15700</v>
      </c>
      <c r="E331" t="s">
        <v>38</v>
      </c>
      <c r="F331" t="s">
        <v>20</v>
      </c>
      <c r="O331">
        <f t="shared" si="11"/>
        <v>0</v>
      </c>
    </row>
    <row r="332" spans="1:15" hidden="1" x14ac:dyDescent="0.25">
      <c r="A332">
        <v>331</v>
      </c>
      <c r="B332" t="s">
        <v>16</v>
      </c>
      <c r="C332" t="s">
        <v>22</v>
      </c>
      <c r="D332">
        <v>17500</v>
      </c>
      <c r="E332" t="s">
        <v>23</v>
      </c>
      <c r="F332" t="s">
        <v>9</v>
      </c>
      <c r="O332">
        <f t="shared" si="11"/>
        <v>0</v>
      </c>
    </row>
    <row r="333" spans="1:15" hidden="1" x14ac:dyDescent="0.25">
      <c r="A333">
        <v>332</v>
      </c>
      <c r="B333" t="s">
        <v>238</v>
      </c>
      <c r="C333" t="s">
        <v>25</v>
      </c>
      <c r="D333">
        <v>69000</v>
      </c>
      <c r="E333" t="s">
        <v>8</v>
      </c>
      <c r="F333" t="s">
        <v>9</v>
      </c>
      <c r="O333">
        <f t="shared" si="11"/>
        <v>0</v>
      </c>
    </row>
    <row r="334" spans="1:15" hidden="1" x14ac:dyDescent="0.25">
      <c r="A334">
        <v>333</v>
      </c>
      <c r="B334" t="s">
        <v>192</v>
      </c>
      <c r="C334" t="s">
        <v>27</v>
      </c>
      <c r="D334">
        <v>6900</v>
      </c>
      <c r="E334" t="s">
        <v>8</v>
      </c>
      <c r="F334" t="s">
        <v>9</v>
      </c>
      <c r="O334">
        <f t="shared" si="11"/>
        <v>0</v>
      </c>
    </row>
    <row r="335" spans="1:15" hidden="1" x14ac:dyDescent="0.25">
      <c r="A335">
        <v>334</v>
      </c>
      <c r="B335" t="s">
        <v>167</v>
      </c>
      <c r="C335" t="s">
        <v>29</v>
      </c>
      <c r="D335">
        <v>108700</v>
      </c>
      <c r="E335" t="s">
        <v>8</v>
      </c>
      <c r="F335" t="s">
        <v>9</v>
      </c>
      <c r="O335">
        <f t="shared" si="11"/>
        <v>0</v>
      </c>
    </row>
    <row r="336" spans="1:15" hidden="1" x14ac:dyDescent="0.25">
      <c r="A336">
        <v>335</v>
      </c>
      <c r="B336" t="s">
        <v>164</v>
      </c>
      <c r="C336" t="s">
        <v>31</v>
      </c>
      <c r="D336">
        <v>227700</v>
      </c>
      <c r="E336" t="s">
        <v>38</v>
      </c>
      <c r="F336" t="s">
        <v>20</v>
      </c>
      <c r="O336">
        <f t="shared" si="11"/>
        <v>0</v>
      </c>
    </row>
    <row r="337" spans="1:15" hidden="1" x14ac:dyDescent="0.25">
      <c r="A337">
        <v>336</v>
      </c>
      <c r="B337" t="s">
        <v>145</v>
      </c>
      <c r="C337" t="s">
        <v>33</v>
      </c>
      <c r="D337">
        <v>7100</v>
      </c>
      <c r="E337" t="s">
        <v>38</v>
      </c>
      <c r="F337" t="s">
        <v>9</v>
      </c>
      <c r="O337">
        <f t="shared" si="11"/>
        <v>0</v>
      </c>
    </row>
    <row r="338" spans="1:15" hidden="1" x14ac:dyDescent="0.25">
      <c r="A338">
        <v>337</v>
      </c>
      <c r="B338" t="s">
        <v>239</v>
      </c>
      <c r="C338" t="s">
        <v>7</v>
      </c>
      <c r="D338">
        <v>5000</v>
      </c>
      <c r="E338" t="s">
        <v>8</v>
      </c>
      <c r="F338" t="s">
        <v>9</v>
      </c>
      <c r="O338">
        <f t="shared" si="11"/>
        <v>0</v>
      </c>
    </row>
    <row r="339" spans="1:15" hidden="1" x14ac:dyDescent="0.25">
      <c r="A339">
        <v>338</v>
      </c>
      <c r="B339" t="s">
        <v>106</v>
      </c>
      <c r="C339" t="s">
        <v>11</v>
      </c>
      <c r="D339">
        <v>28200</v>
      </c>
      <c r="E339" t="s">
        <v>8</v>
      </c>
      <c r="F339" t="s">
        <v>9</v>
      </c>
      <c r="O339">
        <f t="shared" si="11"/>
        <v>0</v>
      </c>
    </row>
    <row r="340" spans="1:15" hidden="1" x14ac:dyDescent="0.25">
      <c r="A340">
        <v>339</v>
      </c>
      <c r="B340" t="s">
        <v>97</v>
      </c>
      <c r="C340" t="s">
        <v>13</v>
      </c>
      <c r="D340">
        <v>31000</v>
      </c>
      <c r="E340" t="s">
        <v>23</v>
      </c>
      <c r="F340" t="s">
        <v>9</v>
      </c>
      <c r="O340">
        <f t="shared" si="11"/>
        <v>0</v>
      </c>
    </row>
    <row r="341" spans="1:15" hidden="1" x14ac:dyDescent="0.25">
      <c r="A341">
        <v>340</v>
      </c>
      <c r="B341" t="s">
        <v>213</v>
      </c>
      <c r="C341" t="s">
        <v>15</v>
      </c>
      <c r="D341">
        <v>185600</v>
      </c>
      <c r="E341" t="s">
        <v>38</v>
      </c>
      <c r="F341" t="s">
        <v>20</v>
      </c>
      <c r="O341">
        <f t="shared" si="11"/>
        <v>0</v>
      </c>
    </row>
    <row r="342" spans="1:15" hidden="1" x14ac:dyDescent="0.25">
      <c r="A342">
        <v>341</v>
      </c>
      <c r="B342" t="s">
        <v>240</v>
      </c>
      <c r="C342" t="s">
        <v>17</v>
      </c>
      <c r="D342">
        <v>13400</v>
      </c>
      <c r="E342" t="s">
        <v>8</v>
      </c>
      <c r="F342" t="s">
        <v>9</v>
      </c>
      <c r="O342">
        <f t="shared" si="11"/>
        <v>0</v>
      </c>
    </row>
    <row r="343" spans="1:15" hidden="1" x14ac:dyDescent="0.25">
      <c r="A343">
        <v>342</v>
      </c>
      <c r="B343" t="s">
        <v>168</v>
      </c>
      <c r="C343" t="s">
        <v>19</v>
      </c>
      <c r="D343">
        <v>36500</v>
      </c>
      <c r="E343" t="s">
        <v>8</v>
      </c>
      <c r="F343" t="s">
        <v>9</v>
      </c>
      <c r="O343">
        <f t="shared" si="11"/>
        <v>0</v>
      </c>
    </row>
    <row r="344" spans="1:15" hidden="1" x14ac:dyDescent="0.25">
      <c r="A344">
        <v>343</v>
      </c>
      <c r="B344" t="s">
        <v>49</v>
      </c>
      <c r="C344" t="s">
        <v>22</v>
      </c>
      <c r="D344">
        <v>36000</v>
      </c>
      <c r="E344" t="s">
        <v>8</v>
      </c>
      <c r="F344" t="s">
        <v>9</v>
      </c>
      <c r="O344">
        <f t="shared" si="11"/>
        <v>0</v>
      </c>
    </row>
    <row r="345" spans="1:15" hidden="1" x14ac:dyDescent="0.25">
      <c r="A345">
        <v>344</v>
      </c>
      <c r="B345" t="s">
        <v>114</v>
      </c>
      <c r="C345" t="s">
        <v>25</v>
      </c>
      <c r="D345">
        <v>5000</v>
      </c>
      <c r="E345" t="s">
        <v>8</v>
      </c>
      <c r="F345" t="s">
        <v>9</v>
      </c>
      <c r="O345">
        <f t="shared" si="11"/>
        <v>0</v>
      </c>
    </row>
    <row r="346" spans="1:15" x14ac:dyDescent="0.25">
      <c r="A346">
        <v>345</v>
      </c>
      <c r="B346" t="s">
        <v>68</v>
      </c>
      <c r="C346" t="s">
        <v>27</v>
      </c>
      <c r="D346">
        <v>371200</v>
      </c>
      <c r="E346" t="s">
        <v>8</v>
      </c>
      <c r="F346" t="s">
        <v>9</v>
      </c>
      <c r="O346">
        <f t="shared" si="11"/>
        <v>0</v>
      </c>
    </row>
    <row r="347" spans="1:15" hidden="1" x14ac:dyDescent="0.25">
      <c r="A347">
        <v>346</v>
      </c>
      <c r="B347" t="s">
        <v>102</v>
      </c>
      <c r="C347" t="s">
        <v>29</v>
      </c>
      <c r="D347">
        <v>49600</v>
      </c>
      <c r="E347" t="s">
        <v>8</v>
      </c>
      <c r="F347" t="s">
        <v>9</v>
      </c>
      <c r="O347">
        <f t="shared" si="11"/>
        <v>0</v>
      </c>
    </row>
    <row r="348" spans="1:15" hidden="1" x14ac:dyDescent="0.25">
      <c r="A348">
        <v>347</v>
      </c>
      <c r="B348" t="s">
        <v>241</v>
      </c>
      <c r="C348" t="s">
        <v>31</v>
      </c>
      <c r="D348">
        <v>8800</v>
      </c>
      <c r="E348" t="s">
        <v>8</v>
      </c>
      <c r="F348" t="s">
        <v>9</v>
      </c>
      <c r="O348">
        <f t="shared" si="11"/>
        <v>0</v>
      </c>
    </row>
    <row r="349" spans="1:15" hidden="1" x14ac:dyDescent="0.25">
      <c r="A349">
        <v>348</v>
      </c>
      <c r="B349" t="s">
        <v>52</v>
      </c>
      <c r="C349" t="s">
        <v>33</v>
      </c>
      <c r="D349">
        <v>8900</v>
      </c>
      <c r="E349" t="s">
        <v>8</v>
      </c>
      <c r="F349" t="s">
        <v>9</v>
      </c>
      <c r="O349">
        <f t="shared" si="11"/>
        <v>0</v>
      </c>
    </row>
    <row r="350" spans="1:15" hidden="1" x14ac:dyDescent="0.25">
      <c r="A350">
        <v>349</v>
      </c>
      <c r="B350" t="s">
        <v>242</v>
      </c>
      <c r="C350" t="s">
        <v>7</v>
      </c>
      <c r="D350">
        <v>45700</v>
      </c>
      <c r="E350" t="s">
        <v>38</v>
      </c>
      <c r="F350" t="s">
        <v>20</v>
      </c>
      <c r="O350">
        <f t="shared" si="11"/>
        <v>0</v>
      </c>
    </row>
    <row r="351" spans="1:15" hidden="1" x14ac:dyDescent="0.25">
      <c r="A351">
        <v>350</v>
      </c>
      <c r="B351" t="s">
        <v>243</v>
      </c>
      <c r="C351" t="s">
        <v>11</v>
      </c>
      <c r="D351">
        <v>136400</v>
      </c>
      <c r="E351" t="s">
        <v>23</v>
      </c>
      <c r="F351" t="s">
        <v>9</v>
      </c>
      <c r="O351">
        <f t="shared" si="11"/>
        <v>0</v>
      </c>
    </row>
    <row r="352" spans="1:15" hidden="1" x14ac:dyDescent="0.25">
      <c r="A352">
        <v>351</v>
      </c>
      <c r="B352" t="s">
        <v>244</v>
      </c>
      <c r="C352" t="s">
        <v>13</v>
      </c>
      <c r="D352">
        <v>41500</v>
      </c>
      <c r="E352" t="s">
        <v>8</v>
      </c>
      <c r="F352" t="s">
        <v>9</v>
      </c>
      <c r="O352">
        <f t="shared" si="11"/>
        <v>0</v>
      </c>
    </row>
    <row r="353" spans="1:15" hidden="1" x14ac:dyDescent="0.25">
      <c r="A353">
        <v>352</v>
      </c>
      <c r="B353" t="s">
        <v>51</v>
      </c>
      <c r="C353" t="s">
        <v>15</v>
      </c>
      <c r="D353">
        <v>99900</v>
      </c>
      <c r="E353" t="s">
        <v>8</v>
      </c>
      <c r="F353" t="s">
        <v>9</v>
      </c>
      <c r="O353">
        <f t="shared" si="11"/>
        <v>0</v>
      </c>
    </row>
    <row r="354" spans="1:15" hidden="1" x14ac:dyDescent="0.25">
      <c r="A354">
        <v>353</v>
      </c>
      <c r="B354" t="s">
        <v>245</v>
      </c>
      <c r="C354" t="s">
        <v>17</v>
      </c>
      <c r="D354">
        <v>7800</v>
      </c>
      <c r="E354" t="s">
        <v>8</v>
      </c>
      <c r="F354" t="s">
        <v>9</v>
      </c>
      <c r="O354">
        <f t="shared" si="11"/>
        <v>0</v>
      </c>
    </row>
    <row r="355" spans="1:15" hidden="1" x14ac:dyDescent="0.25">
      <c r="A355">
        <v>354</v>
      </c>
      <c r="B355" t="s">
        <v>221</v>
      </c>
      <c r="C355" t="s">
        <v>19</v>
      </c>
      <c r="D355">
        <v>17900</v>
      </c>
      <c r="E355" t="s">
        <v>8</v>
      </c>
      <c r="F355" t="s">
        <v>9</v>
      </c>
      <c r="O355">
        <f t="shared" si="11"/>
        <v>0</v>
      </c>
    </row>
    <row r="356" spans="1:15" hidden="1" x14ac:dyDescent="0.25">
      <c r="A356">
        <v>355</v>
      </c>
      <c r="B356" t="s">
        <v>74</v>
      </c>
      <c r="C356" t="s">
        <v>22</v>
      </c>
      <c r="D356">
        <v>56200</v>
      </c>
      <c r="E356" t="s">
        <v>38</v>
      </c>
      <c r="F356" t="s">
        <v>20</v>
      </c>
      <c r="O356">
        <f t="shared" si="11"/>
        <v>0</v>
      </c>
    </row>
    <row r="357" spans="1:15" hidden="1" x14ac:dyDescent="0.25">
      <c r="A357">
        <v>356</v>
      </c>
      <c r="B357" t="s">
        <v>246</v>
      </c>
      <c r="C357" t="s">
        <v>25</v>
      </c>
      <c r="D357">
        <v>35600</v>
      </c>
      <c r="E357" t="s">
        <v>38</v>
      </c>
      <c r="F357" t="s">
        <v>9</v>
      </c>
      <c r="O357">
        <f t="shared" si="11"/>
        <v>0</v>
      </c>
    </row>
    <row r="358" spans="1:15" hidden="1" x14ac:dyDescent="0.25">
      <c r="A358">
        <v>357</v>
      </c>
      <c r="B358" t="s">
        <v>30</v>
      </c>
      <c r="C358" t="s">
        <v>27</v>
      </c>
      <c r="D358">
        <v>17300</v>
      </c>
      <c r="E358" t="s">
        <v>8</v>
      </c>
      <c r="F358" t="s">
        <v>9</v>
      </c>
      <c r="O358">
        <f t="shared" si="11"/>
        <v>0</v>
      </c>
    </row>
    <row r="359" spans="1:15" hidden="1" x14ac:dyDescent="0.25">
      <c r="A359">
        <v>358</v>
      </c>
      <c r="B359" t="s">
        <v>105</v>
      </c>
      <c r="C359" t="s">
        <v>29</v>
      </c>
      <c r="D359">
        <v>6000</v>
      </c>
      <c r="E359" t="s">
        <v>8</v>
      </c>
      <c r="F359" t="s">
        <v>9</v>
      </c>
      <c r="O359">
        <f t="shared" si="11"/>
        <v>0</v>
      </c>
    </row>
    <row r="360" spans="1:15" hidden="1" x14ac:dyDescent="0.25">
      <c r="A360">
        <v>359</v>
      </c>
      <c r="B360" t="s">
        <v>66</v>
      </c>
      <c r="C360" t="s">
        <v>31</v>
      </c>
      <c r="D360">
        <v>13900</v>
      </c>
      <c r="E360" t="s">
        <v>8</v>
      </c>
      <c r="F360" t="s">
        <v>9</v>
      </c>
      <c r="O360">
        <f t="shared" si="11"/>
        <v>0</v>
      </c>
    </row>
    <row r="361" spans="1:15" hidden="1" x14ac:dyDescent="0.25">
      <c r="A361">
        <v>360</v>
      </c>
      <c r="B361" t="s">
        <v>175</v>
      </c>
      <c r="C361" t="s">
        <v>33</v>
      </c>
      <c r="D361">
        <v>23900</v>
      </c>
      <c r="E361" t="s">
        <v>8</v>
      </c>
      <c r="F361" t="s">
        <v>9</v>
      </c>
      <c r="O361">
        <f t="shared" si="11"/>
        <v>0</v>
      </c>
    </row>
    <row r="362" spans="1:15" hidden="1" x14ac:dyDescent="0.25">
      <c r="A362">
        <v>361</v>
      </c>
      <c r="B362" t="s">
        <v>247</v>
      </c>
      <c r="C362" t="s">
        <v>7</v>
      </c>
      <c r="D362">
        <v>28600</v>
      </c>
      <c r="E362" t="s">
        <v>38</v>
      </c>
      <c r="F362" t="s">
        <v>20</v>
      </c>
      <c r="O362">
        <f t="shared" si="11"/>
        <v>0</v>
      </c>
    </row>
    <row r="363" spans="1:15" hidden="1" x14ac:dyDescent="0.25">
      <c r="A363">
        <v>362</v>
      </c>
      <c r="B363" t="s">
        <v>63</v>
      </c>
      <c r="C363" t="s">
        <v>11</v>
      </c>
      <c r="D363">
        <v>12900</v>
      </c>
      <c r="E363" t="s">
        <v>8</v>
      </c>
      <c r="F363" t="s">
        <v>9</v>
      </c>
      <c r="O363">
        <f t="shared" si="11"/>
        <v>0</v>
      </c>
    </row>
    <row r="364" spans="1:15" hidden="1" x14ac:dyDescent="0.25">
      <c r="A364">
        <v>363</v>
      </c>
      <c r="B364" t="s">
        <v>115</v>
      </c>
      <c r="C364" t="s">
        <v>13</v>
      </c>
      <c r="D364">
        <v>76900</v>
      </c>
      <c r="E364" t="s">
        <v>8</v>
      </c>
      <c r="F364" t="s">
        <v>9</v>
      </c>
      <c r="O364">
        <f t="shared" si="11"/>
        <v>0</v>
      </c>
    </row>
    <row r="365" spans="1:15" hidden="1" x14ac:dyDescent="0.25">
      <c r="A365">
        <v>364</v>
      </c>
      <c r="B365" t="s">
        <v>26</v>
      </c>
      <c r="C365" t="s">
        <v>15</v>
      </c>
      <c r="D365">
        <v>17900</v>
      </c>
      <c r="E365" t="s">
        <v>8</v>
      </c>
      <c r="F365" t="s">
        <v>9</v>
      </c>
      <c r="O365">
        <f t="shared" si="11"/>
        <v>0</v>
      </c>
    </row>
    <row r="366" spans="1:15" hidden="1" x14ac:dyDescent="0.25">
      <c r="A366">
        <v>365</v>
      </c>
      <c r="B366" t="s">
        <v>144</v>
      </c>
      <c r="C366" t="s">
        <v>17</v>
      </c>
      <c r="D366">
        <v>36300</v>
      </c>
      <c r="E366" t="s">
        <v>8</v>
      </c>
      <c r="F366" t="s">
        <v>9</v>
      </c>
      <c r="O366">
        <f t="shared" si="11"/>
        <v>0</v>
      </c>
    </row>
    <row r="367" spans="1:15" hidden="1" x14ac:dyDescent="0.25">
      <c r="A367">
        <v>366</v>
      </c>
      <c r="B367" t="s">
        <v>171</v>
      </c>
      <c r="C367" t="s">
        <v>19</v>
      </c>
      <c r="D367">
        <v>9900</v>
      </c>
      <c r="E367" t="s">
        <v>8</v>
      </c>
      <c r="F367" t="s">
        <v>9</v>
      </c>
      <c r="O367">
        <f t="shared" si="11"/>
        <v>0</v>
      </c>
    </row>
    <row r="368" spans="1:15" hidden="1" x14ac:dyDescent="0.25">
      <c r="A368">
        <v>367</v>
      </c>
      <c r="B368" t="s">
        <v>68</v>
      </c>
      <c r="C368" t="s">
        <v>22</v>
      </c>
      <c r="D368">
        <v>17800</v>
      </c>
      <c r="E368" t="s">
        <v>8</v>
      </c>
      <c r="F368" t="s">
        <v>9</v>
      </c>
      <c r="O368">
        <f t="shared" si="11"/>
        <v>0</v>
      </c>
    </row>
    <row r="369" spans="1:15" hidden="1" x14ac:dyDescent="0.25">
      <c r="A369">
        <v>368</v>
      </c>
      <c r="B369" t="s">
        <v>248</v>
      </c>
      <c r="C369" t="s">
        <v>25</v>
      </c>
      <c r="D369">
        <v>32200</v>
      </c>
      <c r="E369" t="s">
        <v>8</v>
      </c>
      <c r="F369" t="s">
        <v>9</v>
      </c>
      <c r="O369">
        <f t="shared" si="11"/>
        <v>0</v>
      </c>
    </row>
    <row r="370" spans="1:15" hidden="1" x14ac:dyDescent="0.25">
      <c r="A370">
        <v>369</v>
      </c>
      <c r="B370" t="s">
        <v>249</v>
      </c>
      <c r="C370" t="s">
        <v>27</v>
      </c>
      <c r="D370">
        <v>81100</v>
      </c>
      <c r="E370" t="s">
        <v>38</v>
      </c>
      <c r="F370" t="s">
        <v>9</v>
      </c>
      <c r="O370">
        <f t="shared" si="11"/>
        <v>0</v>
      </c>
    </row>
    <row r="371" spans="1:15" hidden="1" x14ac:dyDescent="0.25">
      <c r="A371">
        <v>370</v>
      </c>
      <c r="B371" t="s">
        <v>250</v>
      </c>
      <c r="C371" t="s">
        <v>29</v>
      </c>
      <c r="D371">
        <v>8000</v>
      </c>
      <c r="E371" t="s">
        <v>8</v>
      </c>
      <c r="F371" t="s">
        <v>9</v>
      </c>
      <c r="O371">
        <f t="shared" si="11"/>
        <v>0</v>
      </c>
    </row>
    <row r="372" spans="1:15" hidden="1" x14ac:dyDescent="0.25">
      <c r="A372">
        <v>371</v>
      </c>
      <c r="B372" t="s">
        <v>224</v>
      </c>
      <c r="C372" t="s">
        <v>31</v>
      </c>
      <c r="D372">
        <v>27500</v>
      </c>
      <c r="E372" t="s">
        <v>8</v>
      </c>
      <c r="F372" t="s">
        <v>9</v>
      </c>
      <c r="O372">
        <f t="shared" si="11"/>
        <v>0</v>
      </c>
    </row>
    <row r="373" spans="1:15" hidden="1" x14ac:dyDescent="0.25">
      <c r="A373">
        <v>372</v>
      </c>
      <c r="B373" t="s">
        <v>165</v>
      </c>
      <c r="C373" t="s">
        <v>33</v>
      </c>
      <c r="D373">
        <v>158300</v>
      </c>
      <c r="E373" t="s">
        <v>38</v>
      </c>
      <c r="F373" t="s">
        <v>9</v>
      </c>
      <c r="O373">
        <f t="shared" si="11"/>
        <v>0</v>
      </c>
    </row>
    <row r="374" spans="1:15" hidden="1" x14ac:dyDescent="0.25">
      <c r="A374">
        <v>373</v>
      </c>
      <c r="B374" t="s">
        <v>251</v>
      </c>
      <c r="C374" t="s">
        <v>7</v>
      </c>
      <c r="D374">
        <v>12700</v>
      </c>
      <c r="E374" t="s">
        <v>8</v>
      </c>
      <c r="F374" t="s">
        <v>9</v>
      </c>
      <c r="O374">
        <f t="shared" si="11"/>
        <v>0</v>
      </c>
    </row>
    <row r="375" spans="1:15" hidden="1" x14ac:dyDescent="0.25">
      <c r="A375">
        <v>374</v>
      </c>
      <c r="B375" t="s">
        <v>252</v>
      </c>
      <c r="C375" t="s">
        <v>11</v>
      </c>
      <c r="D375">
        <v>24100</v>
      </c>
      <c r="E375" t="s">
        <v>8</v>
      </c>
      <c r="F375" t="s">
        <v>9</v>
      </c>
      <c r="O375">
        <f t="shared" si="11"/>
        <v>0</v>
      </c>
    </row>
    <row r="376" spans="1:15" hidden="1" x14ac:dyDescent="0.25">
      <c r="A376">
        <v>375</v>
      </c>
      <c r="B376" t="s">
        <v>18</v>
      </c>
      <c r="C376" t="s">
        <v>13</v>
      </c>
      <c r="D376">
        <v>53400</v>
      </c>
      <c r="E376" t="s">
        <v>8</v>
      </c>
      <c r="F376" t="s">
        <v>9</v>
      </c>
      <c r="O376">
        <f t="shared" si="11"/>
        <v>0</v>
      </c>
    </row>
    <row r="377" spans="1:15" x14ac:dyDescent="0.25">
      <c r="A377">
        <v>376</v>
      </c>
      <c r="B377" t="s">
        <v>115</v>
      </c>
      <c r="C377" t="s">
        <v>11</v>
      </c>
      <c r="D377">
        <v>480000</v>
      </c>
      <c r="E377" t="s">
        <v>8</v>
      </c>
      <c r="F377" t="s">
        <v>9</v>
      </c>
      <c r="O377">
        <f t="shared" si="11"/>
        <v>0</v>
      </c>
    </row>
    <row r="378" spans="1:15" hidden="1" x14ac:dyDescent="0.25">
      <c r="A378">
        <v>377</v>
      </c>
      <c r="B378" t="s">
        <v>207</v>
      </c>
      <c r="C378" t="s">
        <v>17</v>
      </c>
      <c r="D378">
        <v>11400</v>
      </c>
      <c r="E378" t="s">
        <v>8</v>
      </c>
      <c r="F378" t="s">
        <v>9</v>
      </c>
      <c r="O378">
        <f t="shared" si="11"/>
        <v>0</v>
      </c>
    </row>
    <row r="379" spans="1:15" hidden="1" x14ac:dyDescent="0.25">
      <c r="A379">
        <v>378</v>
      </c>
      <c r="B379" t="s">
        <v>191</v>
      </c>
      <c r="C379" t="s">
        <v>19</v>
      </c>
      <c r="D379">
        <v>21300</v>
      </c>
      <c r="E379" t="s">
        <v>8</v>
      </c>
      <c r="F379" t="s">
        <v>9</v>
      </c>
      <c r="O379">
        <f t="shared" si="11"/>
        <v>0</v>
      </c>
    </row>
    <row r="380" spans="1:15" hidden="1" x14ac:dyDescent="0.25">
      <c r="A380">
        <v>379</v>
      </c>
      <c r="B380" t="s">
        <v>77</v>
      </c>
      <c r="C380" t="s">
        <v>22</v>
      </c>
      <c r="D380">
        <v>24800</v>
      </c>
      <c r="E380" t="s">
        <v>8</v>
      </c>
      <c r="F380" t="s">
        <v>20</v>
      </c>
      <c r="O380">
        <f t="shared" si="11"/>
        <v>0</v>
      </c>
    </row>
    <row r="381" spans="1:15" hidden="1" x14ac:dyDescent="0.25">
      <c r="A381">
        <v>380</v>
      </c>
      <c r="B381" t="s">
        <v>139</v>
      </c>
      <c r="C381" t="s">
        <v>25</v>
      </c>
      <c r="D381">
        <v>96400</v>
      </c>
      <c r="E381" t="s">
        <v>8</v>
      </c>
      <c r="F381" t="s">
        <v>9</v>
      </c>
      <c r="O381">
        <f t="shared" si="11"/>
        <v>0</v>
      </c>
    </row>
    <row r="382" spans="1:15" x14ac:dyDescent="0.25">
      <c r="A382">
        <v>381</v>
      </c>
      <c r="B382" t="s">
        <v>70</v>
      </c>
      <c r="C382" t="s">
        <v>27</v>
      </c>
      <c r="D382">
        <v>401300</v>
      </c>
      <c r="E382" t="s">
        <v>8</v>
      </c>
      <c r="F382" t="s">
        <v>9</v>
      </c>
      <c r="O382">
        <f t="shared" si="11"/>
        <v>0</v>
      </c>
    </row>
    <row r="383" spans="1:15" hidden="1" x14ac:dyDescent="0.25">
      <c r="A383">
        <v>382</v>
      </c>
      <c r="B383" t="s">
        <v>253</v>
      </c>
      <c r="C383" t="s">
        <v>29</v>
      </c>
      <c r="D383">
        <v>18800</v>
      </c>
      <c r="E383" t="s">
        <v>23</v>
      </c>
      <c r="F383" t="s">
        <v>9</v>
      </c>
      <c r="O383">
        <f t="shared" si="11"/>
        <v>0</v>
      </c>
    </row>
    <row r="384" spans="1:15" hidden="1" x14ac:dyDescent="0.25">
      <c r="A384">
        <v>383</v>
      </c>
      <c r="B384" t="s">
        <v>254</v>
      </c>
      <c r="C384" t="s">
        <v>31</v>
      </c>
      <c r="D384">
        <v>41700</v>
      </c>
      <c r="E384" t="s">
        <v>8</v>
      </c>
      <c r="F384" t="s">
        <v>20</v>
      </c>
      <c r="O384">
        <f t="shared" si="11"/>
        <v>0</v>
      </c>
    </row>
    <row r="385" spans="1:15" hidden="1" x14ac:dyDescent="0.25">
      <c r="A385">
        <v>384</v>
      </c>
      <c r="B385" t="s">
        <v>243</v>
      </c>
      <c r="C385" t="s">
        <v>33</v>
      </c>
      <c r="D385">
        <v>27100</v>
      </c>
      <c r="E385" t="s">
        <v>8</v>
      </c>
      <c r="F385" t="s">
        <v>9</v>
      </c>
      <c r="O385">
        <f t="shared" si="11"/>
        <v>0</v>
      </c>
    </row>
    <row r="386" spans="1:15" hidden="1" x14ac:dyDescent="0.25">
      <c r="A386">
        <v>385</v>
      </c>
      <c r="B386" t="s">
        <v>91</v>
      </c>
      <c r="C386" t="s">
        <v>7</v>
      </c>
      <c r="D386">
        <v>38100</v>
      </c>
      <c r="E386" t="s">
        <v>8</v>
      </c>
      <c r="F386" t="s">
        <v>9</v>
      </c>
      <c r="O386">
        <f t="shared" si="11"/>
        <v>0</v>
      </c>
    </row>
    <row r="387" spans="1:15" hidden="1" x14ac:dyDescent="0.25">
      <c r="A387">
        <v>386</v>
      </c>
      <c r="B387" t="s">
        <v>255</v>
      </c>
      <c r="C387" t="s">
        <v>11</v>
      </c>
      <c r="D387">
        <v>73100</v>
      </c>
      <c r="E387" t="s">
        <v>8</v>
      </c>
      <c r="F387" t="s">
        <v>9</v>
      </c>
      <c r="O387">
        <f t="shared" si="11"/>
        <v>0</v>
      </c>
    </row>
    <row r="388" spans="1:15" hidden="1" x14ac:dyDescent="0.25">
      <c r="A388">
        <v>387</v>
      </c>
      <c r="B388" t="s">
        <v>200</v>
      </c>
      <c r="C388" t="s">
        <v>13</v>
      </c>
      <c r="D388">
        <v>68500</v>
      </c>
      <c r="E388" t="s">
        <v>8</v>
      </c>
      <c r="F388" t="s">
        <v>9</v>
      </c>
      <c r="O388">
        <f t="shared" si="11"/>
        <v>0</v>
      </c>
    </row>
    <row r="389" spans="1:15" hidden="1" x14ac:dyDescent="0.25">
      <c r="A389">
        <v>388</v>
      </c>
      <c r="B389" t="s">
        <v>256</v>
      </c>
      <c r="C389" t="s">
        <v>15</v>
      </c>
      <c r="D389">
        <v>12400</v>
      </c>
      <c r="E389" t="s">
        <v>8</v>
      </c>
      <c r="F389" t="s">
        <v>9</v>
      </c>
      <c r="O389">
        <f t="shared" ref="O389:O452" si="12">N389*N389</f>
        <v>0</v>
      </c>
    </row>
    <row r="390" spans="1:15" hidden="1" x14ac:dyDescent="0.25">
      <c r="A390">
        <v>389</v>
      </c>
      <c r="B390" t="s">
        <v>173</v>
      </c>
      <c r="C390" t="s">
        <v>17</v>
      </c>
      <c r="D390">
        <v>38500</v>
      </c>
      <c r="E390" t="s">
        <v>8</v>
      </c>
      <c r="F390" t="s">
        <v>9</v>
      </c>
      <c r="O390">
        <f t="shared" si="12"/>
        <v>0</v>
      </c>
    </row>
    <row r="391" spans="1:15" hidden="1" x14ac:dyDescent="0.25">
      <c r="A391">
        <v>390</v>
      </c>
      <c r="B391" t="s">
        <v>257</v>
      </c>
      <c r="C391" t="s">
        <v>19</v>
      </c>
      <c r="D391">
        <v>25700</v>
      </c>
      <c r="E391" t="s">
        <v>8</v>
      </c>
      <c r="F391" t="s">
        <v>20</v>
      </c>
      <c r="O391">
        <f t="shared" si="12"/>
        <v>0</v>
      </c>
    </row>
    <row r="392" spans="1:15" hidden="1" x14ac:dyDescent="0.25">
      <c r="A392">
        <v>391</v>
      </c>
      <c r="B392" t="s">
        <v>160</v>
      </c>
      <c r="C392" t="s">
        <v>22</v>
      </c>
      <c r="D392">
        <v>17000</v>
      </c>
      <c r="E392" t="s">
        <v>8</v>
      </c>
      <c r="F392" t="s">
        <v>9</v>
      </c>
      <c r="O392">
        <f t="shared" si="12"/>
        <v>0</v>
      </c>
    </row>
    <row r="393" spans="1:15" hidden="1" x14ac:dyDescent="0.25">
      <c r="A393">
        <v>392</v>
      </c>
      <c r="B393" t="s">
        <v>208</v>
      </c>
      <c r="C393" t="s">
        <v>25</v>
      </c>
      <c r="D393">
        <v>90700</v>
      </c>
      <c r="E393" t="s">
        <v>38</v>
      </c>
      <c r="F393" t="s">
        <v>20</v>
      </c>
      <c r="O393">
        <f t="shared" si="12"/>
        <v>0</v>
      </c>
    </row>
    <row r="394" spans="1:15" hidden="1" x14ac:dyDescent="0.25">
      <c r="A394">
        <v>393</v>
      </c>
      <c r="B394" t="s">
        <v>149</v>
      </c>
      <c r="C394" t="s">
        <v>27</v>
      </c>
      <c r="D394">
        <v>10300</v>
      </c>
      <c r="E394" t="s">
        <v>23</v>
      </c>
      <c r="F394" t="s">
        <v>9</v>
      </c>
      <c r="O394">
        <f t="shared" si="12"/>
        <v>0</v>
      </c>
    </row>
    <row r="395" spans="1:15" hidden="1" x14ac:dyDescent="0.25">
      <c r="A395">
        <v>394</v>
      </c>
      <c r="B395" t="s">
        <v>258</v>
      </c>
      <c r="C395" t="s">
        <v>29</v>
      </c>
      <c r="D395">
        <v>31300</v>
      </c>
      <c r="E395" t="s">
        <v>8</v>
      </c>
      <c r="F395" t="s">
        <v>9</v>
      </c>
      <c r="O395">
        <f t="shared" si="12"/>
        <v>0</v>
      </c>
    </row>
    <row r="396" spans="1:15" hidden="1" x14ac:dyDescent="0.25">
      <c r="A396">
        <v>395</v>
      </c>
      <c r="B396" t="s">
        <v>259</v>
      </c>
      <c r="C396" t="s">
        <v>31</v>
      </c>
      <c r="D396">
        <v>33300</v>
      </c>
      <c r="E396" t="s">
        <v>8</v>
      </c>
      <c r="F396" t="s">
        <v>9</v>
      </c>
      <c r="O396">
        <f t="shared" si="12"/>
        <v>0</v>
      </c>
    </row>
    <row r="397" spans="1:15" hidden="1" x14ac:dyDescent="0.25">
      <c r="A397">
        <v>396</v>
      </c>
      <c r="B397" t="s">
        <v>204</v>
      </c>
      <c r="C397" t="s">
        <v>33</v>
      </c>
      <c r="D397">
        <v>19900</v>
      </c>
      <c r="E397" t="s">
        <v>8</v>
      </c>
      <c r="F397" t="s">
        <v>9</v>
      </c>
      <c r="O397">
        <f t="shared" si="12"/>
        <v>0</v>
      </c>
    </row>
    <row r="398" spans="1:15" hidden="1" x14ac:dyDescent="0.25">
      <c r="A398">
        <v>397</v>
      </c>
      <c r="B398" t="s">
        <v>260</v>
      </c>
      <c r="C398" t="s">
        <v>7</v>
      </c>
      <c r="D398">
        <v>14400</v>
      </c>
      <c r="E398" t="s">
        <v>8</v>
      </c>
      <c r="F398" t="s">
        <v>9</v>
      </c>
      <c r="O398">
        <f t="shared" si="12"/>
        <v>0</v>
      </c>
    </row>
    <row r="399" spans="1:15" hidden="1" x14ac:dyDescent="0.25">
      <c r="A399">
        <v>398</v>
      </c>
      <c r="B399" t="s">
        <v>261</v>
      </c>
      <c r="C399" t="s">
        <v>11</v>
      </c>
      <c r="D399">
        <v>11700</v>
      </c>
      <c r="E399" t="s">
        <v>8</v>
      </c>
      <c r="F399" t="s">
        <v>9</v>
      </c>
      <c r="O399">
        <f t="shared" si="12"/>
        <v>0</v>
      </c>
    </row>
    <row r="400" spans="1:15" hidden="1" x14ac:dyDescent="0.25">
      <c r="A400">
        <v>399</v>
      </c>
      <c r="B400" t="s">
        <v>261</v>
      </c>
      <c r="C400" t="s">
        <v>13</v>
      </c>
      <c r="D400">
        <v>37200</v>
      </c>
      <c r="E400" t="s">
        <v>8</v>
      </c>
      <c r="F400" t="s">
        <v>9</v>
      </c>
      <c r="O400">
        <f t="shared" si="12"/>
        <v>0</v>
      </c>
    </row>
    <row r="401" spans="1:15" hidden="1" x14ac:dyDescent="0.25">
      <c r="A401">
        <v>400</v>
      </c>
      <c r="B401" t="s">
        <v>262</v>
      </c>
      <c r="C401" t="s">
        <v>15</v>
      </c>
      <c r="D401">
        <v>9900</v>
      </c>
      <c r="E401" t="s">
        <v>8</v>
      </c>
      <c r="F401" t="s">
        <v>9</v>
      </c>
      <c r="O401">
        <f t="shared" si="12"/>
        <v>0</v>
      </c>
    </row>
    <row r="402" spans="1:15" hidden="1" x14ac:dyDescent="0.25">
      <c r="A402">
        <v>401</v>
      </c>
      <c r="B402" t="s">
        <v>263</v>
      </c>
      <c r="C402" t="s">
        <v>17</v>
      </c>
      <c r="D402">
        <v>60000</v>
      </c>
      <c r="E402" t="s">
        <v>38</v>
      </c>
      <c r="F402" t="s">
        <v>20</v>
      </c>
      <c r="O402">
        <f t="shared" si="12"/>
        <v>0</v>
      </c>
    </row>
    <row r="403" spans="1:15" hidden="1" x14ac:dyDescent="0.25">
      <c r="A403">
        <v>402</v>
      </c>
      <c r="B403" t="s">
        <v>145</v>
      </c>
      <c r="C403" t="s">
        <v>19</v>
      </c>
      <c r="D403">
        <v>57900</v>
      </c>
      <c r="E403" t="s">
        <v>23</v>
      </c>
      <c r="F403" t="s">
        <v>20</v>
      </c>
      <c r="O403">
        <f t="shared" si="12"/>
        <v>0</v>
      </c>
    </row>
    <row r="404" spans="1:15" hidden="1" x14ac:dyDescent="0.25">
      <c r="A404">
        <v>403</v>
      </c>
      <c r="B404" t="s">
        <v>62</v>
      </c>
      <c r="C404" t="s">
        <v>22</v>
      </c>
      <c r="D404">
        <v>91800</v>
      </c>
      <c r="E404" t="s">
        <v>8</v>
      </c>
      <c r="F404" t="s">
        <v>9</v>
      </c>
      <c r="O404">
        <f t="shared" si="12"/>
        <v>0</v>
      </c>
    </row>
    <row r="405" spans="1:15" hidden="1" x14ac:dyDescent="0.25">
      <c r="A405">
        <v>404</v>
      </c>
      <c r="B405" t="s">
        <v>117</v>
      </c>
      <c r="C405" t="s">
        <v>25</v>
      </c>
      <c r="D405">
        <v>24500</v>
      </c>
      <c r="E405" t="s">
        <v>8</v>
      </c>
      <c r="F405" t="s">
        <v>9</v>
      </c>
      <c r="O405">
        <f t="shared" si="12"/>
        <v>0</v>
      </c>
    </row>
    <row r="406" spans="1:15" hidden="1" x14ac:dyDescent="0.25">
      <c r="A406">
        <v>405</v>
      </c>
      <c r="B406" t="s">
        <v>91</v>
      </c>
      <c r="C406" t="s">
        <v>27</v>
      </c>
      <c r="D406">
        <v>54200</v>
      </c>
      <c r="E406" t="s">
        <v>8</v>
      </c>
      <c r="F406" t="s">
        <v>9</v>
      </c>
      <c r="O406">
        <f t="shared" si="12"/>
        <v>0</v>
      </c>
    </row>
    <row r="407" spans="1:15" hidden="1" x14ac:dyDescent="0.25">
      <c r="A407">
        <v>406</v>
      </c>
      <c r="B407" t="s">
        <v>264</v>
      </c>
      <c r="C407" t="s">
        <v>29</v>
      </c>
      <c r="D407">
        <v>66000</v>
      </c>
      <c r="E407" t="s">
        <v>8</v>
      </c>
      <c r="F407" t="s">
        <v>9</v>
      </c>
      <c r="O407">
        <f t="shared" si="12"/>
        <v>0</v>
      </c>
    </row>
    <row r="408" spans="1:15" hidden="1" x14ac:dyDescent="0.25">
      <c r="A408">
        <v>407</v>
      </c>
      <c r="B408" t="s">
        <v>192</v>
      </c>
      <c r="C408" t="s">
        <v>31</v>
      </c>
      <c r="D408">
        <v>56200</v>
      </c>
      <c r="E408" t="s">
        <v>8</v>
      </c>
      <c r="F408" t="s">
        <v>20</v>
      </c>
      <c r="O408">
        <f t="shared" si="12"/>
        <v>0</v>
      </c>
    </row>
    <row r="409" spans="1:15" hidden="1" x14ac:dyDescent="0.25">
      <c r="A409">
        <v>408</v>
      </c>
      <c r="B409" t="s">
        <v>46</v>
      </c>
      <c r="C409" t="s">
        <v>33</v>
      </c>
      <c r="D409">
        <v>40700</v>
      </c>
      <c r="E409" t="s">
        <v>23</v>
      </c>
      <c r="F409" t="s">
        <v>9</v>
      </c>
      <c r="O409">
        <f t="shared" si="12"/>
        <v>0</v>
      </c>
    </row>
    <row r="410" spans="1:15" hidden="1" x14ac:dyDescent="0.25">
      <c r="A410">
        <v>409</v>
      </c>
      <c r="B410" t="s">
        <v>232</v>
      </c>
      <c r="C410" t="s">
        <v>7</v>
      </c>
      <c r="D410">
        <v>116200</v>
      </c>
      <c r="E410" t="s">
        <v>8</v>
      </c>
      <c r="F410" t="s">
        <v>9</v>
      </c>
      <c r="O410">
        <f t="shared" si="12"/>
        <v>0</v>
      </c>
    </row>
    <row r="411" spans="1:15" hidden="1" x14ac:dyDescent="0.25">
      <c r="A411">
        <v>410</v>
      </c>
      <c r="B411" t="s">
        <v>115</v>
      </c>
      <c r="C411" t="s">
        <v>11</v>
      </c>
      <c r="D411">
        <v>58600</v>
      </c>
      <c r="E411" t="s">
        <v>38</v>
      </c>
      <c r="F411" t="s">
        <v>20</v>
      </c>
      <c r="O411">
        <f t="shared" si="12"/>
        <v>0</v>
      </c>
    </row>
    <row r="412" spans="1:15" hidden="1" x14ac:dyDescent="0.25">
      <c r="A412">
        <v>411</v>
      </c>
      <c r="B412" t="s">
        <v>265</v>
      </c>
      <c r="C412" t="s">
        <v>13</v>
      </c>
      <c r="D412">
        <v>35000</v>
      </c>
      <c r="E412" t="s">
        <v>8</v>
      </c>
      <c r="F412" t="s">
        <v>9</v>
      </c>
      <c r="O412">
        <f t="shared" si="12"/>
        <v>0</v>
      </c>
    </row>
    <row r="413" spans="1:15" hidden="1" x14ac:dyDescent="0.25">
      <c r="A413">
        <v>412</v>
      </c>
      <c r="B413" t="s">
        <v>48</v>
      </c>
      <c r="C413" t="s">
        <v>15</v>
      </c>
      <c r="D413">
        <v>33100</v>
      </c>
      <c r="E413" t="s">
        <v>23</v>
      </c>
      <c r="F413" t="s">
        <v>20</v>
      </c>
      <c r="O413">
        <f t="shared" si="12"/>
        <v>0</v>
      </c>
    </row>
    <row r="414" spans="1:15" hidden="1" x14ac:dyDescent="0.25">
      <c r="A414">
        <v>413</v>
      </c>
      <c r="B414" t="s">
        <v>192</v>
      </c>
      <c r="C414" t="s">
        <v>17</v>
      </c>
      <c r="D414">
        <v>16900</v>
      </c>
      <c r="E414" t="s">
        <v>38</v>
      </c>
      <c r="F414" t="s">
        <v>9</v>
      </c>
      <c r="O414">
        <f t="shared" si="12"/>
        <v>0</v>
      </c>
    </row>
    <row r="415" spans="1:15" hidden="1" x14ac:dyDescent="0.25">
      <c r="A415">
        <v>414</v>
      </c>
      <c r="B415" t="s">
        <v>103</v>
      </c>
      <c r="C415" t="s">
        <v>19</v>
      </c>
      <c r="D415">
        <v>53400</v>
      </c>
      <c r="E415" t="s">
        <v>38</v>
      </c>
      <c r="F415" t="s">
        <v>20</v>
      </c>
      <c r="O415">
        <f t="shared" si="12"/>
        <v>0</v>
      </c>
    </row>
    <row r="416" spans="1:15" hidden="1" x14ac:dyDescent="0.25">
      <c r="A416">
        <v>415</v>
      </c>
      <c r="B416" t="s">
        <v>65</v>
      </c>
      <c r="C416" t="s">
        <v>22</v>
      </c>
      <c r="D416">
        <v>85900</v>
      </c>
      <c r="E416" t="s">
        <v>8</v>
      </c>
      <c r="F416" t="s">
        <v>9</v>
      </c>
      <c r="O416">
        <f t="shared" si="12"/>
        <v>0</v>
      </c>
    </row>
    <row r="417" spans="1:15" hidden="1" x14ac:dyDescent="0.25">
      <c r="A417">
        <v>416</v>
      </c>
      <c r="B417" t="s">
        <v>139</v>
      </c>
      <c r="C417" t="s">
        <v>25</v>
      </c>
      <c r="D417">
        <v>35100</v>
      </c>
      <c r="E417" t="s">
        <v>23</v>
      </c>
      <c r="F417" t="s">
        <v>9</v>
      </c>
      <c r="O417">
        <f t="shared" si="12"/>
        <v>0</v>
      </c>
    </row>
    <row r="418" spans="1:15" hidden="1" x14ac:dyDescent="0.25">
      <c r="A418">
        <v>417</v>
      </c>
      <c r="B418" t="s">
        <v>239</v>
      </c>
      <c r="C418" t="s">
        <v>27</v>
      </c>
      <c r="D418">
        <v>22900</v>
      </c>
      <c r="E418" t="s">
        <v>8</v>
      </c>
      <c r="F418" t="s">
        <v>20</v>
      </c>
      <c r="O418">
        <f t="shared" si="12"/>
        <v>0</v>
      </c>
    </row>
    <row r="419" spans="1:15" hidden="1" x14ac:dyDescent="0.25">
      <c r="A419">
        <v>418</v>
      </c>
      <c r="B419" t="s">
        <v>24</v>
      </c>
      <c r="C419" t="s">
        <v>29</v>
      </c>
      <c r="D419">
        <v>73200</v>
      </c>
      <c r="E419" t="s">
        <v>38</v>
      </c>
      <c r="F419" t="s">
        <v>20</v>
      </c>
      <c r="O419">
        <f t="shared" si="12"/>
        <v>0</v>
      </c>
    </row>
    <row r="420" spans="1:15" hidden="1" x14ac:dyDescent="0.25">
      <c r="A420">
        <v>419</v>
      </c>
      <c r="B420" t="s">
        <v>266</v>
      </c>
      <c r="C420" t="s">
        <v>31</v>
      </c>
      <c r="D420">
        <v>6200</v>
      </c>
      <c r="E420" t="s">
        <v>8</v>
      </c>
      <c r="F420" t="s">
        <v>9</v>
      </c>
      <c r="O420">
        <f t="shared" si="12"/>
        <v>0</v>
      </c>
    </row>
    <row r="421" spans="1:15" hidden="1" x14ac:dyDescent="0.25">
      <c r="A421">
        <v>420</v>
      </c>
      <c r="B421" t="s">
        <v>267</v>
      </c>
      <c r="C421" t="s">
        <v>33</v>
      </c>
      <c r="D421">
        <v>72000</v>
      </c>
      <c r="E421" t="s">
        <v>8</v>
      </c>
      <c r="F421" t="s">
        <v>9</v>
      </c>
      <c r="O421">
        <f t="shared" si="12"/>
        <v>0</v>
      </c>
    </row>
    <row r="422" spans="1:15" hidden="1" x14ac:dyDescent="0.25">
      <c r="A422">
        <v>421</v>
      </c>
      <c r="B422" t="s">
        <v>218</v>
      </c>
      <c r="C422" t="s">
        <v>7</v>
      </c>
      <c r="D422">
        <v>43700</v>
      </c>
      <c r="E422" t="s">
        <v>23</v>
      </c>
      <c r="F422" t="s">
        <v>9</v>
      </c>
      <c r="O422">
        <f t="shared" si="12"/>
        <v>0</v>
      </c>
    </row>
    <row r="423" spans="1:15" hidden="1" x14ac:dyDescent="0.25">
      <c r="A423">
        <v>422</v>
      </c>
      <c r="B423" t="s">
        <v>218</v>
      </c>
      <c r="C423" t="s">
        <v>11</v>
      </c>
      <c r="D423">
        <v>58100</v>
      </c>
      <c r="E423" t="s">
        <v>8</v>
      </c>
      <c r="F423" t="s">
        <v>9</v>
      </c>
      <c r="O423">
        <f t="shared" si="12"/>
        <v>0</v>
      </c>
    </row>
    <row r="424" spans="1:15" hidden="1" x14ac:dyDescent="0.25">
      <c r="A424">
        <v>423</v>
      </c>
      <c r="B424" t="s">
        <v>268</v>
      </c>
      <c r="C424" t="s">
        <v>13</v>
      </c>
      <c r="D424">
        <v>5000</v>
      </c>
      <c r="E424" t="s">
        <v>23</v>
      </c>
      <c r="F424" t="s">
        <v>9</v>
      </c>
      <c r="O424">
        <f t="shared" si="12"/>
        <v>0</v>
      </c>
    </row>
    <row r="425" spans="1:15" hidden="1" x14ac:dyDescent="0.25">
      <c r="A425">
        <v>424</v>
      </c>
      <c r="B425" t="s">
        <v>269</v>
      </c>
      <c r="C425" t="s">
        <v>15</v>
      </c>
      <c r="D425">
        <v>35200</v>
      </c>
      <c r="E425" t="s">
        <v>8</v>
      </c>
      <c r="F425" t="s">
        <v>20</v>
      </c>
      <c r="O425">
        <f t="shared" si="12"/>
        <v>0</v>
      </c>
    </row>
    <row r="426" spans="1:15" hidden="1" x14ac:dyDescent="0.25">
      <c r="A426">
        <v>425</v>
      </c>
      <c r="B426" t="s">
        <v>270</v>
      </c>
      <c r="C426" t="s">
        <v>17</v>
      </c>
      <c r="D426">
        <v>230900</v>
      </c>
      <c r="E426" t="s">
        <v>8</v>
      </c>
      <c r="F426" t="s">
        <v>9</v>
      </c>
      <c r="O426">
        <f t="shared" si="12"/>
        <v>0</v>
      </c>
    </row>
    <row r="427" spans="1:15" x14ac:dyDescent="0.25">
      <c r="A427">
        <v>426</v>
      </c>
      <c r="B427" t="s">
        <v>58</v>
      </c>
      <c r="C427" t="s">
        <v>22</v>
      </c>
      <c r="D427">
        <v>0</v>
      </c>
      <c r="E427" t="s">
        <v>8</v>
      </c>
      <c r="F427" t="s">
        <v>20</v>
      </c>
      <c r="O427">
        <f t="shared" si="12"/>
        <v>0</v>
      </c>
    </row>
    <row r="428" spans="1:15" hidden="1" x14ac:dyDescent="0.25">
      <c r="A428">
        <v>427</v>
      </c>
      <c r="B428" t="s">
        <v>61</v>
      </c>
      <c r="C428" t="s">
        <v>22</v>
      </c>
      <c r="D428">
        <v>6900</v>
      </c>
      <c r="E428" t="s">
        <v>8</v>
      </c>
      <c r="F428" t="s">
        <v>9</v>
      </c>
      <c r="O428">
        <f t="shared" si="12"/>
        <v>0</v>
      </c>
    </row>
    <row r="429" spans="1:15" hidden="1" x14ac:dyDescent="0.25">
      <c r="A429">
        <v>428</v>
      </c>
      <c r="B429" t="s">
        <v>176</v>
      </c>
      <c r="C429" t="s">
        <v>25</v>
      </c>
      <c r="D429">
        <v>30100</v>
      </c>
      <c r="E429" t="s">
        <v>23</v>
      </c>
      <c r="F429" t="s">
        <v>9</v>
      </c>
      <c r="O429">
        <f t="shared" si="12"/>
        <v>0</v>
      </c>
    </row>
    <row r="430" spans="1:15" hidden="1" x14ac:dyDescent="0.25">
      <c r="A430">
        <v>429</v>
      </c>
      <c r="B430" t="s">
        <v>256</v>
      </c>
      <c r="C430" t="s">
        <v>27</v>
      </c>
      <c r="D430">
        <v>94500</v>
      </c>
      <c r="E430" t="s">
        <v>8</v>
      </c>
      <c r="F430" t="s">
        <v>9</v>
      </c>
      <c r="O430">
        <f t="shared" si="12"/>
        <v>0</v>
      </c>
    </row>
    <row r="431" spans="1:15" hidden="1" x14ac:dyDescent="0.25">
      <c r="A431">
        <v>430</v>
      </c>
      <c r="B431" t="s">
        <v>53</v>
      </c>
      <c r="C431" t="s">
        <v>29</v>
      </c>
      <c r="D431">
        <v>43200</v>
      </c>
      <c r="E431" t="s">
        <v>38</v>
      </c>
      <c r="F431" t="s">
        <v>20</v>
      </c>
      <c r="O431">
        <f t="shared" si="12"/>
        <v>0</v>
      </c>
    </row>
    <row r="432" spans="1:15" hidden="1" x14ac:dyDescent="0.25">
      <c r="A432">
        <v>431</v>
      </c>
      <c r="B432" t="s">
        <v>124</v>
      </c>
      <c r="C432" t="s">
        <v>31</v>
      </c>
      <c r="D432">
        <v>32200</v>
      </c>
      <c r="E432" t="s">
        <v>8</v>
      </c>
      <c r="F432" t="s">
        <v>20</v>
      </c>
      <c r="O432">
        <f t="shared" si="12"/>
        <v>0</v>
      </c>
    </row>
    <row r="433" spans="1:15" hidden="1" x14ac:dyDescent="0.25">
      <c r="A433">
        <v>432</v>
      </c>
      <c r="B433" t="s">
        <v>26</v>
      </c>
      <c r="C433" t="s">
        <v>33</v>
      </c>
      <c r="D433">
        <v>10500</v>
      </c>
      <c r="E433" t="s">
        <v>23</v>
      </c>
      <c r="F433" t="s">
        <v>20</v>
      </c>
      <c r="O433">
        <f t="shared" si="12"/>
        <v>0</v>
      </c>
    </row>
    <row r="434" spans="1:15" hidden="1" x14ac:dyDescent="0.25">
      <c r="A434">
        <v>433</v>
      </c>
      <c r="B434" t="s">
        <v>150</v>
      </c>
      <c r="C434" t="s">
        <v>7</v>
      </c>
      <c r="D434">
        <v>118700</v>
      </c>
      <c r="E434" t="s">
        <v>8</v>
      </c>
      <c r="F434" t="s">
        <v>9</v>
      </c>
      <c r="O434">
        <f t="shared" si="12"/>
        <v>0</v>
      </c>
    </row>
    <row r="435" spans="1:15" hidden="1" x14ac:dyDescent="0.25">
      <c r="A435">
        <v>434</v>
      </c>
      <c r="B435" t="s">
        <v>271</v>
      </c>
      <c r="C435" t="s">
        <v>11</v>
      </c>
      <c r="D435">
        <v>9700</v>
      </c>
      <c r="E435" t="s">
        <v>8</v>
      </c>
      <c r="F435" t="s">
        <v>9</v>
      </c>
      <c r="O435">
        <f t="shared" si="12"/>
        <v>0</v>
      </c>
    </row>
    <row r="436" spans="1:15" x14ac:dyDescent="0.25">
      <c r="A436">
        <v>435</v>
      </c>
      <c r="B436" t="s">
        <v>98</v>
      </c>
      <c r="C436" t="s">
        <v>7</v>
      </c>
      <c r="D436">
        <v>450000</v>
      </c>
      <c r="E436" t="s">
        <v>8</v>
      </c>
      <c r="F436" t="s">
        <v>9</v>
      </c>
      <c r="O436">
        <f t="shared" si="12"/>
        <v>0</v>
      </c>
    </row>
    <row r="437" spans="1:15" hidden="1" x14ac:dyDescent="0.25">
      <c r="A437">
        <v>436</v>
      </c>
      <c r="B437" t="s">
        <v>144</v>
      </c>
      <c r="C437" t="s">
        <v>15</v>
      </c>
      <c r="D437">
        <v>71700</v>
      </c>
      <c r="E437" t="s">
        <v>8</v>
      </c>
      <c r="F437" t="s">
        <v>9</v>
      </c>
      <c r="O437">
        <f t="shared" si="12"/>
        <v>0</v>
      </c>
    </row>
    <row r="438" spans="1:15" hidden="1" x14ac:dyDescent="0.25">
      <c r="A438">
        <v>437</v>
      </c>
      <c r="B438" t="s">
        <v>168</v>
      </c>
      <c r="C438" t="s">
        <v>17</v>
      </c>
      <c r="D438">
        <v>14500</v>
      </c>
      <c r="E438" t="s">
        <v>8</v>
      </c>
      <c r="F438" t="s">
        <v>9</v>
      </c>
      <c r="O438">
        <f t="shared" si="12"/>
        <v>0</v>
      </c>
    </row>
    <row r="439" spans="1:15" hidden="1" x14ac:dyDescent="0.25">
      <c r="A439">
        <v>438</v>
      </c>
      <c r="B439" t="s">
        <v>70</v>
      </c>
      <c r="C439" t="s">
        <v>19</v>
      </c>
      <c r="D439">
        <v>16500</v>
      </c>
      <c r="E439" t="s">
        <v>38</v>
      </c>
      <c r="F439" t="s">
        <v>20</v>
      </c>
      <c r="O439">
        <f t="shared" si="12"/>
        <v>0</v>
      </c>
    </row>
    <row r="440" spans="1:15" hidden="1" x14ac:dyDescent="0.25">
      <c r="A440">
        <v>439</v>
      </c>
      <c r="B440" t="s">
        <v>50</v>
      </c>
      <c r="C440" t="s">
        <v>22</v>
      </c>
      <c r="D440">
        <v>83500</v>
      </c>
      <c r="E440" t="s">
        <v>8</v>
      </c>
      <c r="F440" t="s">
        <v>9</v>
      </c>
      <c r="O440">
        <f t="shared" si="12"/>
        <v>0</v>
      </c>
    </row>
    <row r="441" spans="1:15" hidden="1" x14ac:dyDescent="0.25">
      <c r="A441">
        <v>440</v>
      </c>
      <c r="B441" t="s">
        <v>214</v>
      </c>
      <c r="C441" t="s">
        <v>25</v>
      </c>
      <c r="D441">
        <v>52700</v>
      </c>
      <c r="E441" t="s">
        <v>8</v>
      </c>
      <c r="F441" t="s">
        <v>9</v>
      </c>
      <c r="O441">
        <f t="shared" si="12"/>
        <v>0</v>
      </c>
    </row>
    <row r="442" spans="1:15" hidden="1" x14ac:dyDescent="0.25">
      <c r="A442">
        <v>441</v>
      </c>
      <c r="B442" t="s">
        <v>272</v>
      </c>
      <c r="C442" t="s">
        <v>27</v>
      </c>
      <c r="D442">
        <v>77100</v>
      </c>
      <c r="E442" t="s">
        <v>8</v>
      </c>
      <c r="F442" t="s">
        <v>9</v>
      </c>
      <c r="O442">
        <f t="shared" si="12"/>
        <v>0</v>
      </c>
    </row>
    <row r="443" spans="1:15" hidden="1" x14ac:dyDescent="0.25">
      <c r="A443">
        <v>442</v>
      </c>
      <c r="B443" t="s">
        <v>177</v>
      </c>
      <c r="C443" t="s">
        <v>29</v>
      </c>
      <c r="D443">
        <v>13800</v>
      </c>
      <c r="E443" t="s">
        <v>38</v>
      </c>
      <c r="F443" t="s">
        <v>9</v>
      </c>
      <c r="O443">
        <f t="shared" si="12"/>
        <v>0</v>
      </c>
    </row>
    <row r="444" spans="1:15" hidden="1" x14ac:dyDescent="0.25">
      <c r="A444">
        <v>443</v>
      </c>
      <c r="B444" t="s">
        <v>183</v>
      </c>
      <c r="C444" t="s">
        <v>31</v>
      </c>
      <c r="D444">
        <v>8200</v>
      </c>
      <c r="E444" t="s">
        <v>8</v>
      </c>
      <c r="F444" t="s">
        <v>9</v>
      </c>
      <c r="O444">
        <f t="shared" si="12"/>
        <v>0</v>
      </c>
    </row>
    <row r="445" spans="1:15" hidden="1" x14ac:dyDescent="0.25">
      <c r="A445">
        <v>444</v>
      </c>
      <c r="B445" t="s">
        <v>154</v>
      </c>
      <c r="C445" t="s">
        <v>33</v>
      </c>
      <c r="D445">
        <v>31400</v>
      </c>
      <c r="E445" t="s">
        <v>38</v>
      </c>
      <c r="F445" t="s">
        <v>20</v>
      </c>
      <c r="O445">
        <f t="shared" si="12"/>
        <v>0</v>
      </c>
    </row>
    <row r="446" spans="1:15" hidden="1" x14ac:dyDescent="0.25">
      <c r="A446">
        <v>445</v>
      </c>
      <c r="B446" t="s">
        <v>183</v>
      </c>
      <c r="C446" t="s">
        <v>7</v>
      </c>
      <c r="D446">
        <v>40700</v>
      </c>
      <c r="E446" t="s">
        <v>8</v>
      </c>
      <c r="F446" t="s">
        <v>9</v>
      </c>
      <c r="O446">
        <f t="shared" si="12"/>
        <v>0</v>
      </c>
    </row>
    <row r="447" spans="1:15" hidden="1" x14ac:dyDescent="0.25">
      <c r="A447">
        <v>446</v>
      </c>
      <c r="B447" t="s">
        <v>109</v>
      </c>
      <c r="C447" t="s">
        <v>11</v>
      </c>
      <c r="D447">
        <v>33200</v>
      </c>
      <c r="E447" t="s">
        <v>8</v>
      </c>
      <c r="F447" t="s">
        <v>9</v>
      </c>
      <c r="O447">
        <f t="shared" si="12"/>
        <v>0</v>
      </c>
    </row>
    <row r="448" spans="1:15" hidden="1" x14ac:dyDescent="0.25">
      <c r="A448">
        <v>447</v>
      </c>
      <c r="B448" t="s">
        <v>273</v>
      </c>
      <c r="C448" t="s">
        <v>13</v>
      </c>
      <c r="D448">
        <v>23900</v>
      </c>
      <c r="E448" t="s">
        <v>8</v>
      </c>
      <c r="F448" t="s">
        <v>9</v>
      </c>
      <c r="O448">
        <f t="shared" si="12"/>
        <v>0</v>
      </c>
    </row>
    <row r="449" spans="1:15" hidden="1" x14ac:dyDescent="0.25">
      <c r="A449">
        <v>448</v>
      </c>
      <c r="B449" t="s">
        <v>159</v>
      </c>
      <c r="C449" t="s">
        <v>15</v>
      </c>
      <c r="D449">
        <v>10700</v>
      </c>
      <c r="E449" t="s">
        <v>8</v>
      </c>
      <c r="F449" t="s">
        <v>9</v>
      </c>
      <c r="O449">
        <f t="shared" si="12"/>
        <v>0</v>
      </c>
    </row>
    <row r="450" spans="1:15" hidden="1" x14ac:dyDescent="0.25">
      <c r="A450">
        <v>449</v>
      </c>
      <c r="B450" t="s">
        <v>274</v>
      </c>
      <c r="C450" t="s">
        <v>17</v>
      </c>
      <c r="D450">
        <v>63500</v>
      </c>
      <c r="E450" t="s">
        <v>38</v>
      </c>
      <c r="F450" t="s">
        <v>20</v>
      </c>
      <c r="O450">
        <f t="shared" si="12"/>
        <v>0</v>
      </c>
    </row>
    <row r="451" spans="1:15" hidden="1" x14ac:dyDescent="0.25">
      <c r="A451">
        <v>450</v>
      </c>
      <c r="B451" t="s">
        <v>118</v>
      </c>
      <c r="C451" t="s">
        <v>19</v>
      </c>
      <c r="D451">
        <v>13000</v>
      </c>
      <c r="E451" t="s">
        <v>38</v>
      </c>
      <c r="F451" t="s">
        <v>9</v>
      </c>
      <c r="O451">
        <f t="shared" si="12"/>
        <v>0</v>
      </c>
    </row>
    <row r="452" spans="1:15" hidden="1" x14ac:dyDescent="0.25">
      <c r="A452">
        <v>451</v>
      </c>
      <c r="B452" t="s">
        <v>275</v>
      </c>
      <c r="C452" t="s">
        <v>22</v>
      </c>
      <c r="D452">
        <v>40900</v>
      </c>
      <c r="E452" t="s">
        <v>8</v>
      </c>
      <c r="F452" t="s">
        <v>9</v>
      </c>
      <c r="O452">
        <f t="shared" si="12"/>
        <v>0</v>
      </c>
    </row>
    <row r="453" spans="1:15" hidden="1" x14ac:dyDescent="0.25">
      <c r="A453">
        <v>452</v>
      </c>
      <c r="B453" t="s">
        <v>276</v>
      </c>
      <c r="C453" t="s">
        <v>25</v>
      </c>
      <c r="D453">
        <v>149000</v>
      </c>
      <c r="E453" t="s">
        <v>8</v>
      </c>
      <c r="F453" t="s">
        <v>9</v>
      </c>
      <c r="O453">
        <f t="shared" ref="O453:O501" si="13">N453*N453</f>
        <v>0</v>
      </c>
    </row>
    <row r="454" spans="1:15" hidden="1" x14ac:dyDescent="0.25">
      <c r="A454">
        <v>453</v>
      </c>
      <c r="B454" t="s">
        <v>277</v>
      </c>
      <c r="C454" t="s">
        <v>27</v>
      </c>
      <c r="D454">
        <v>31700</v>
      </c>
      <c r="E454" t="s">
        <v>23</v>
      </c>
      <c r="F454" t="s">
        <v>9</v>
      </c>
      <c r="O454">
        <f t="shared" si="13"/>
        <v>0</v>
      </c>
    </row>
    <row r="455" spans="1:15" hidden="1" x14ac:dyDescent="0.25">
      <c r="A455">
        <v>454</v>
      </c>
      <c r="B455" t="s">
        <v>122</v>
      </c>
      <c r="C455" t="s">
        <v>29</v>
      </c>
      <c r="D455">
        <v>6300</v>
      </c>
      <c r="E455" t="s">
        <v>38</v>
      </c>
      <c r="F455" t="s">
        <v>9</v>
      </c>
      <c r="O455">
        <f t="shared" si="13"/>
        <v>0</v>
      </c>
    </row>
    <row r="456" spans="1:15" hidden="1" x14ac:dyDescent="0.25">
      <c r="A456">
        <v>455</v>
      </c>
      <c r="B456" t="s">
        <v>222</v>
      </c>
      <c r="C456" t="s">
        <v>31</v>
      </c>
      <c r="D456">
        <v>224600</v>
      </c>
      <c r="E456" t="s">
        <v>8</v>
      </c>
      <c r="F456" t="s">
        <v>9</v>
      </c>
      <c r="O456">
        <f t="shared" si="13"/>
        <v>0</v>
      </c>
    </row>
    <row r="457" spans="1:15" hidden="1" x14ac:dyDescent="0.25">
      <c r="A457">
        <v>456</v>
      </c>
      <c r="B457" t="s">
        <v>116</v>
      </c>
      <c r="C457" t="s">
        <v>33</v>
      </c>
      <c r="D457">
        <v>12000</v>
      </c>
      <c r="E457" t="s">
        <v>23</v>
      </c>
      <c r="F457" t="s">
        <v>9</v>
      </c>
      <c r="O457">
        <f t="shared" si="13"/>
        <v>0</v>
      </c>
    </row>
    <row r="458" spans="1:15" hidden="1" x14ac:dyDescent="0.25">
      <c r="A458">
        <v>457</v>
      </c>
      <c r="B458" t="s">
        <v>204</v>
      </c>
      <c r="C458" t="s">
        <v>7</v>
      </c>
      <c r="D458">
        <v>18000</v>
      </c>
      <c r="E458" t="s">
        <v>8</v>
      </c>
      <c r="F458" t="s">
        <v>9</v>
      </c>
      <c r="O458">
        <f t="shared" si="13"/>
        <v>0</v>
      </c>
    </row>
    <row r="459" spans="1:15" hidden="1" x14ac:dyDescent="0.25">
      <c r="A459">
        <v>458</v>
      </c>
      <c r="B459" t="s">
        <v>133</v>
      </c>
      <c r="C459" t="s">
        <v>11</v>
      </c>
      <c r="D459">
        <v>49400</v>
      </c>
      <c r="E459" t="s">
        <v>8</v>
      </c>
      <c r="F459" t="s">
        <v>9</v>
      </c>
      <c r="O459">
        <f t="shared" si="13"/>
        <v>0</v>
      </c>
    </row>
    <row r="460" spans="1:15" hidden="1" x14ac:dyDescent="0.25">
      <c r="A460">
        <v>459</v>
      </c>
      <c r="B460" t="s">
        <v>178</v>
      </c>
      <c r="C460" t="s">
        <v>13</v>
      </c>
      <c r="D460">
        <v>141700</v>
      </c>
      <c r="E460" t="s">
        <v>8</v>
      </c>
      <c r="F460" t="s">
        <v>9</v>
      </c>
      <c r="O460">
        <f t="shared" si="13"/>
        <v>0</v>
      </c>
    </row>
    <row r="461" spans="1:15" hidden="1" x14ac:dyDescent="0.25">
      <c r="A461">
        <v>460</v>
      </c>
      <c r="B461" t="s">
        <v>278</v>
      </c>
      <c r="C461" t="s">
        <v>15</v>
      </c>
      <c r="D461">
        <v>55300</v>
      </c>
      <c r="E461" t="s">
        <v>8</v>
      </c>
      <c r="F461" t="s">
        <v>9</v>
      </c>
      <c r="O461">
        <f t="shared" si="13"/>
        <v>0</v>
      </c>
    </row>
    <row r="462" spans="1:15" hidden="1" x14ac:dyDescent="0.25">
      <c r="A462">
        <v>461</v>
      </c>
      <c r="B462" t="s">
        <v>279</v>
      </c>
      <c r="C462" t="s">
        <v>17</v>
      </c>
      <c r="D462">
        <v>22800</v>
      </c>
      <c r="E462" t="s">
        <v>8</v>
      </c>
      <c r="F462" t="s">
        <v>9</v>
      </c>
      <c r="O462">
        <f t="shared" si="13"/>
        <v>0</v>
      </c>
    </row>
    <row r="463" spans="1:15" hidden="1" x14ac:dyDescent="0.25">
      <c r="A463">
        <v>462</v>
      </c>
      <c r="B463" t="s">
        <v>280</v>
      </c>
      <c r="C463" t="s">
        <v>19</v>
      </c>
      <c r="D463">
        <v>16400</v>
      </c>
      <c r="E463" t="s">
        <v>8</v>
      </c>
      <c r="F463" t="s">
        <v>9</v>
      </c>
      <c r="O463">
        <f t="shared" si="13"/>
        <v>0</v>
      </c>
    </row>
    <row r="464" spans="1:15" hidden="1" x14ac:dyDescent="0.25">
      <c r="A464">
        <v>463</v>
      </c>
      <c r="B464" t="s">
        <v>281</v>
      </c>
      <c r="C464" t="s">
        <v>22</v>
      </c>
      <c r="D464">
        <v>8300</v>
      </c>
      <c r="E464" t="s">
        <v>8</v>
      </c>
      <c r="F464" t="s">
        <v>9</v>
      </c>
      <c r="O464">
        <f t="shared" si="13"/>
        <v>0</v>
      </c>
    </row>
    <row r="465" spans="1:15" hidden="1" x14ac:dyDescent="0.25">
      <c r="A465">
        <v>464</v>
      </c>
      <c r="B465" t="s">
        <v>248</v>
      </c>
      <c r="C465" t="s">
        <v>25</v>
      </c>
      <c r="D465">
        <v>40200</v>
      </c>
      <c r="E465" t="s">
        <v>8</v>
      </c>
      <c r="F465" t="s">
        <v>20</v>
      </c>
      <c r="O465">
        <f t="shared" si="13"/>
        <v>0</v>
      </c>
    </row>
    <row r="466" spans="1:15" hidden="1" x14ac:dyDescent="0.25">
      <c r="A466">
        <v>465</v>
      </c>
      <c r="B466" t="s">
        <v>282</v>
      </c>
      <c r="C466" t="s">
        <v>27</v>
      </c>
      <c r="D466">
        <v>56000</v>
      </c>
      <c r="E466" t="s">
        <v>8</v>
      </c>
      <c r="F466" t="s">
        <v>9</v>
      </c>
      <c r="O466">
        <f t="shared" si="13"/>
        <v>0</v>
      </c>
    </row>
    <row r="467" spans="1:15" hidden="1" x14ac:dyDescent="0.25">
      <c r="A467">
        <v>466</v>
      </c>
      <c r="B467" t="s">
        <v>283</v>
      </c>
      <c r="C467" t="s">
        <v>29</v>
      </c>
      <c r="D467">
        <v>256900</v>
      </c>
      <c r="E467" t="s">
        <v>8</v>
      </c>
      <c r="F467" t="s">
        <v>20</v>
      </c>
      <c r="O467">
        <f t="shared" si="13"/>
        <v>0</v>
      </c>
    </row>
    <row r="468" spans="1:15" hidden="1" x14ac:dyDescent="0.25">
      <c r="A468">
        <v>467</v>
      </c>
      <c r="B468" t="s">
        <v>284</v>
      </c>
      <c r="C468" t="s">
        <v>31</v>
      </c>
      <c r="D468">
        <v>48100</v>
      </c>
      <c r="E468" t="s">
        <v>8</v>
      </c>
      <c r="F468" t="s">
        <v>20</v>
      </c>
      <c r="O468">
        <f t="shared" si="13"/>
        <v>0</v>
      </c>
    </row>
    <row r="469" spans="1:15" hidden="1" x14ac:dyDescent="0.25">
      <c r="A469">
        <v>468</v>
      </c>
      <c r="B469" t="s">
        <v>43</v>
      </c>
      <c r="C469" t="s">
        <v>33</v>
      </c>
      <c r="D469">
        <v>158600</v>
      </c>
      <c r="E469" t="s">
        <v>8</v>
      </c>
      <c r="F469" t="s">
        <v>9</v>
      </c>
      <c r="O469">
        <f t="shared" si="13"/>
        <v>0</v>
      </c>
    </row>
    <row r="470" spans="1:15" hidden="1" x14ac:dyDescent="0.25">
      <c r="A470">
        <v>469</v>
      </c>
      <c r="B470" t="s">
        <v>285</v>
      </c>
      <c r="C470" t="s">
        <v>7</v>
      </c>
      <c r="D470">
        <v>11400</v>
      </c>
      <c r="E470" t="s">
        <v>8</v>
      </c>
      <c r="F470" t="s">
        <v>9</v>
      </c>
      <c r="O470">
        <f t="shared" si="13"/>
        <v>0</v>
      </c>
    </row>
    <row r="471" spans="1:15" hidden="1" x14ac:dyDescent="0.25">
      <c r="A471">
        <v>470</v>
      </c>
      <c r="B471" t="s">
        <v>264</v>
      </c>
      <c r="C471" t="s">
        <v>11</v>
      </c>
      <c r="D471">
        <v>75700</v>
      </c>
      <c r="E471" t="s">
        <v>38</v>
      </c>
      <c r="F471" t="s">
        <v>20</v>
      </c>
      <c r="O471">
        <f t="shared" si="13"/>
        <v>0</v>
      </c>
    </row>
    <row r="472" spans="1:15" hidden="1" x14ac:dyDescent="0.25">
      <c r="A472">
        <v>471</v>
      </c>
      <c r="B472" t="s">
        <v>286</v>
      </c>
      <c r="C472" t="s">
        <v>13</v>
      </c>
      <c r="D472">
        <v>75400</v>
      </c>
      <c r="E472" t="s">
        <v>8</v>
      </c>
      <c r="F472" t="s">
        <v>9</v>
      </c>
      <c r="O472">
        <f t="shared" si="13"/>
        <v>0</v>
      </c>
    </row>
    <row r="473" spans="1:15" hidden="1" x14ac:dyDescent="0.25">
      <c r="A473">
        <v>472</v>
      </c>
      <c r="B473" t="s">
        <v>167</v>
      </c>
      <c r="C473" t="s">
        <v>15</v>
      </c>
      <c r="D473">
        <v>28900</v>
      </c>
      <c r="E473" t="s">
        <v>8</v>
      </c>
      <c r="F473" t="s">
        <v>20</v>
      </c>
      <c r="O473">
        <f t="shared" si="13"/>
        <v>0</v>
      </c>
    </row>
    <row r="474" spans="1:15" hidden="1" x14ac:dyDescent="0.25">
      <c r="A474">
        <v>473</v>
      </c>
      <c r="B474" t="s">
        <v>207</v>
      </c>
      <c r="C474" t="s">
        <v>17</v>
      </c>
      <c r="D474">
        <v>40700</v>
      </c>
      <c r="E474" t="s">
        <v>23</v>
      </c>
      <c r="F474" t="s">
        <v>9</v>
      </c>
      <c r="O474">
        <f t="shared" si="13"/>
        <v>0</v>
      </c>
    </row>
    <row r="475" spans="1:15" hidden="1" x14ac:dyDescent="0.25">
      <c r="A475">
        <v>474</v>
      </c>
      <c r="B475" t="s">
        <v>73</v>
      </c>
      <c r="C475" t="s">
        <v>19</v>
      </c>
      <c r="D475">
        <v>74000</v>
      </c>
      <c r="E475" t="s">
        <v>8</v>
      </c>
      <c r="F475" t="s">
        <v>9</v>
      </c>
      <c r="O475">
        <f t="shared" si="13"/>
        <v>0</v>
      </c>
    </row>
    <row r="476" spans="1:15" hidden="1" x14ac:dyDescent="0.25">
      <c r="A476">
        <v>475</v>
      </c>
      <c r="B476" t="s">
        <v>247</v>
      </c>
      <c r="C476" t="s">
        <v>22</v>
      </c>
      <c r="D476">
        <v>152000</v>
      </c>
      <c r="E476" t="s">
        <v>38</v>
      </c>
      <c r="F476" t="s">
        <v>9</v>
      </c>
      <c r="O476">
        <f t="shared" si="13"/>
        <v>0</v>
      </c>
    </row>
    <row r="477" spans="1:15" hidden="1" x14ac:dyDescent="0.25">
      <c r="A477">
        <v>476</v>
      </c>
      <c r="B477" t="s">
        <v>147</v>
      </c>
      <c r="C477" t="s">
        <v>25</v>
      </c>
      <c r="D477">
        <v>47000</v>
      </c>
      <c r="E477" t="s">
        <v>8</v>
      </c>
      <c r="F477" t="s">
        <v>9</v>
      </c>
      <c r="O477">
        <f t="shared" si="13"/>
        <v>0</v>
      </c>
    </row>
    <row r="478" spans="1:15" hidden="1" x14ac:dyDescent="0.25">
      <c r="A478">
        <v>477</v>
      </c>
      <c r="B478" t="s">
        <v>223</v>
      </c>
      <c r="C478" t="s">
        <v>27</v>
      </c>
      <c r="D478">
        <v>70300</v>
      </c>
      <c r="E478" t="s">
        <v>23</v>
      </c>
      <c r="F478" t="s">
        <v>9</v>
      </c>
      <c r="O478">
        <f t="shared" si="13"/>
        <v>0</v>
      </c>
    </row>
    <row r="479" spans="1:15" x14ac:dyDescent="0.25">
      <c r="A479">
        <v>478</v>
      </c>
      <c r="B479" t="s">
        <v>254</v>
      </c>
      <c r="C479" t="s">
        <v>29</v>
      </c>
      <c r="D479">
        <v>430900</v>
      </c>
      <c r="E479" t="s">
        <v>8</v>
      </c>
      <c r="F479" t="s">
        <v>20</v>
      </c>
      <c r="O479">
        <f t="shared" si="13"/>
        <v>0</v>
      </c>
    </row>
    <row r="480" spans="1:15" hidden="1" x14ac:dyDescent="0.25">
      <c r="A480">
        <v>479</v>
      </c>
      <c r="B480" t="s">
        <v>138</v>
      </c>
      <c r="C480" t="s">
        <v>31</v>
      </c>
      <c r="D480">
        <v>85400</v>
      </c>
      <c r="E480" t="s">
        <v>8</v>
      </c>
      <c r="F480" t="s">
        <v>20</v>
      </c>
      <c r="O480">
        <f t="shared" si="13"/>
        <v>0</v>
      </c>
    </row>
    <row r="481" spans="1:15" hidden="1" x14ac:dyDescent="0.25">
      <c r="A481">
        <v>480</v>
      </c>
      <c r="B481" t="s">
        <v>92</v>
      </c>
      <c r="C481" t="s">
        <v>33</v>
      </c>
      <c r="D481">
        <v>15800</v>
      </c>
      <c r="E481" t="s">
        <v>8</v>
      </c>
      <c r="F481" t="s">
        <v>9</v>
      </c>
      <c r="O481">
        <f t="shared" si="13"/>
        <v>0</v>
      </c>
    </row>
    <row r="482" spans="1:15" hidden="1" x14ac:dyDescent="0.25">
      <c r="A482">
        <v>481</v>
      </c>
      <c r="B482" t="s">
        <v>287</v>
      </c>
      <c r="C482" t="s">
        <v>7</v>
      </c>
      <c r="D482">
        <v>5000</v>
      </c>
      <c r="E482" t="s">
        <v>8</v>
      </c>
      <c r="F482" t="s">
        <v>9</v>
      </c>
      <c r="O482">
        <f t="shared" si="13"/>
        <v>0</v>
      </c>
    </row>
    <row r="483" spans="1:15" hidden="1" x14ac:dyDescent="0.25">
      <c r="A483">
        <v>482</v>
      </c>
      <c r="B483" t="s">
        <v>144</v>
      </c>
      <c r="C483" t="s">
        <v>11</v>
      </c>
      <c r="D483">
        <v>21200</v>
      </c>
      <c r="E483" t="s">
        <v>8</v>
      </c>
      <c r="F483" t="s">
        <v>20</v>
      </c>
      <c r="O483">
        <f t="shared" si="13"/>
        <v>0</v>
      </c>
    </row>
    <row r="484" spans="1:15" hidden="1" x14ac:dyDescent="0.25">
      <c r="A484">
        <v>483</v>
      </c>
      <c r="B484" t="s">
        <v>124</v>
      </c>
      <c r="C484" t="s">
        <v>13</v>
      </c>
      <c r="D484">
        <v>69400</v>
      </c>
      <c r="E484" t="s">
        <v>8</v>
      </c>
      <c r="F484" t="s">
        <v>9</v>
      </c>
      <c r="O484">
        <f t="shared" si="13"/>
        <v>0</v>
      </c>
    </row>
    <row r="485" spans="1:15" hidden="1" x14ac:dyDescent="0.25">
      <c r="A485">
        <v>484</v>
      </c>
      <c r="B485" t="s">
        <v>197</v>
      </c>
      <c r="C485" t="s">
        <v>15</v>
      </c>
      <c r="D485">
        <v>5000</v>
      </c>
      <c r="E485" t="s">
        <v>38</v>
      </c>
      <c r="F485" t="s">
        <v>20</v>
      </c>
      <c r="O485">
        <f t="shared" si="13"/>
        <v>0</v>
      </c>
    </row>
    <row r="486" spans="1:15" hidden="1" x14ac:dyDescent="0.25">
      <c r="A486">
        <v>485</v>
      </c>
      <c r="B486" t="s">
        <v>40</v>
      </c>
      <c r="C486" t="s">
        <v>17</v>
      </c>
      <c r="D486">
        <v>84600</v>
      </c>
      <c r="E486" t="s">
        <v>8</v>
      </c>
      <c r="F486" t="s">
        <v>9</v>
      </c>
      <c r="O486">
        <f t="shared" si="13"/>
        <v>0</v>
      </c>
    </row>
    <row r="487" spans="1:15" hidden="1" x14ac:dyDescent="0.25">
      <c r="A487">
        <v>486</v>
      </c>
      <c r="B487" t="s">
        <v>288</v>
      </c>
      <c r="C487" t="s">
        <v>19</v>
      </c>
      <c r="D487">
        <v>59200</v>
      </c>
      <c r="E487" t="s">
        <v>8</v>
      </c>
      <c r="F487" t="s">
        <v>9</v>
      </c>
      <c r="O487">
        <f t="shared" si="13"/>
        <v>0</v>
      </c>
    </row>
    <row r="488" spans="1:15" hidden="1" x14ac:dyDescent="0.25">
      <c r="A488">
        <v>487</v>
      </c>
      <c r="B488" t="s">
        <v>218</v>
      </c>
      <c r="C488" t="s">
        <v>22</v>
      </c>
      <c r="D488">
        <v>39400</v>
      </c>
      <c r="E488" t="s">
        <v>8</v>
      </c>
      <c r="F488" t="s">
        <v>9</v>
      </c>
      <c r="O488">
        <f t="shared" si="13"/>
        <v>0</v>
      </c>
    </row>
    <row r="489" spans="1:15" hidden="1" x14ac:dyDescent="0.25">
      <c r="A489">
        <v>488</v>
      </c>
      <c r="B489" t="s">
        <v>67</v>
      </c>
      <c r="C489" t="s">
        <v>25</v>
      </c>
      <c r="D489">
        <v>24900</v>
      </c>
      <c r="E489" t="s">
        <v>23</v>
      </c>
      <c r="F489" t="s">
        <v>9</v>
      </c>
      <c r="O489">
        <f t="shared" si="13"/>
        <v>0</v>
      </c>
    </row>
    <row r="490" spans="1:15" hidden="1" x14ac:dyDescent="0.25">
      <c r="A490">
        <v>489</v>
      </c>
      <c r="B490" t="s">
        <v>83</v>
      </c>
      <c r="C490" t="s">
        <v>27</v>
      </c>
      <c r="D490">
        <v>97200</v>
      </c>
      <c r="E490" t="s">
        <v>23</v>
      </c>
      <c r="F490" t="s">
        <v>9</v>
      </c>
      <c r="O490">
        <f t="shared" si="13"/>
        <v>0</v>
      </c>
    </row>
    <row r="491" spans="1:15" hidden="1" x14ac:dyDescent="0.25">
      <c r="A491">
        <v>490</v>
      </c>
      <c r="B491" t="s">
        <v>104</v>
      </c>
      <c r="C491" t="s">
        <v>29</v>
      </c>
      <c r="D491">
        <v>54100</v>
      </c>
      <c r="E491" t="s">
        <v>23</v>
      </c>
      <c r="F491" t="s">
        <v>9</v>
      </c>
      <c r="O491">
        <f t="shared" si="13"/>
        <v>0</v>
      </c>
    </row>
    <row r="492" spans="1:15" hidden="1" x14ac:dyDescent="0.25">
      <c r="A492">
        <v>491</v>
      </c>
      <c r="B492" t="s">
        <v>194</v>
      </c>
      <c r="C492" t="s">
        <v>31</v>
      </c>
      <c r="D492">
        <v>8600</v>
      </c>
      <c r="E492" t="s">
        <v>8</v>
      </c>
      <c r="F492" t="s">
        <v>9</v>
      </c>
      <c r="O492">
        <f t="shared" si="13"/>
        <v>0</v>
      </c>
    </row>
    <row r="493" spans="1:15" hidden="1" x14ac:dyDescent="0.25">
      <c r="A493">
        <v>492</v>
      </c>
      <c r="B493" t="s">
        <v>289</v>
      </c>
      <c r="C493" t="s">
        <v>33</v>
      </c>
      <c r="D493">
        <v>16200</v>
      </c>
      <c r="E493" t="s">
        <v>23</v>
      </c>
      <c r="F493" t="s">
        <v>20</v>
      </c>
      <c r="O493">
        <f t="shared" si="13"/>
        <v>0</v>
      </c>
    </row>
    <row r="494" spans="1:15" hidden="1" x14ac:dyDescent="0.25">
      <c r="A494">
        <v>493</v>
      </c>
      <c r="B494" t="s">
        <v>84</v>
      </c>
      <c r="C494" t="s">
        <v>7</v>
      </c>
      <c r="D494">
        <v>114400</v>
      </c>
      <c r="E494" t="s">
        <v>8</v>
      </c>
      <c r="F494" t="s">
        <v>9</v>
      </c>
      <c r="O494">
        <f t="shared" si="13"/>
        <v>0</v>
      </c>
    </row>
    <row r="495" spans="1:15" hidden="1" x14ac:dyDescent="0.25">
      <c r="A495">
        <v>494</v>
      </c>
      <c r="B495" t="s">
        <v>290</v>
      </c>
      <c r="C495" t="s">
        <v>11</v>
      </c>
      <c r="D495">
        <v>41500</v>
      </c>
      <c r="E495" t="s">
        <v>8</v>
      </c>
      <c r="F495" t="s">
        <v>9</v>
      </c>
      <c r="O495">
        <f t="shared" si="13"/>
        <v>0</v>
      </c>
    </row>
    <row r="496" spans="1:15" hidden="1" x14ac:dyDescent="0.25">
      <c r="A496">
        <v>495</v>
      </c>
      <c r="B496" t="s">
        <v>291</v>
      </c>
      <c r="C496" t="s">
        <v>13</v>
      </c>
      <c r="D496">
        <v>6900</v>
      </c>
      <c r="E496" t="s">
        <v>8</v>
      </c>
      <c r="F496" t="s">
        <v>9</v>
      </c>
      <c r="O496">
        <f t="shared" si="13"/>
        <v>0</v>
      </c>
    </row>
    <row r="497" spans="1:15" hidden="1" x14ac:dyDescent="0.25">
      <c r="A497">
        <v>496</v>
      </c>
      <c r="B497" t="s">
        <v>292</v>
      </c>
      <c r="C497" t="s">
        <v>15</v>
      </c>
      <c r="D497">
        <v>6800</v>
      </c>
      <c r="E497" t="s">
        <v>8</v>
      </c>
      <c r="F497" t="s">
        <v>9</v>
      </c>
      <c r="O497">
        <f t="shared" si="13"/>
        <v>0</v>
      </c>
    </row>
    <row r="498" spans="1:15" hidden="1" x14ac:dyDescent="0.25">
      <c r="A498">
        <v>497</v>
      </c>
      <c r="B498" t="s">
        <v>206</v>
      </c>
      <c r="C498" t="s">
        <v>17</v>
      </c>
      <c r="D498">
        <v>194600</v>
      </c>
      <c r="E498" t="s">
        <v>8</v>
      </c>
      <c r="F498" t="s">
        <v>9</v>
      </c>
      <c r="O498">
        <f t="shared" si="13"/>
        <v>0</v>
      </c>
    </row>
    <row r="499" spans="1:15" hidden="1" x14ac:dyDescent="0.25">
      <c r="A499">
        <v>498</v>
      </c>
      <c r="B499" t="s">
        <v>227</v>
      </c>
      <c r="C499" t="s">
        <v>19</v>
      </c>
      <c r="D499">
        <v>13700</v>
      </c>
      <c r="E499" t="s">
        <v>23</v>
      </c>
      <c r="F499" t="s">
        <v>9</v>
      </c>
      <c r="O499">
        <f t="shared" si="13"/>
        <v>0</v>
      </c>
    </row>
    <row r="500" spans="1:15" x14ac:dyDescent="0.25">
      <c r="A500">
        <v>499</v>
      </c>
      <c r="B500" t="s">
        <v>238</v>
      </c>
      <c r="C500" t="s">
        <v>17</v>
      </c>
      <c r="D500">
        <v>410000</v>
      </c>
      <c r="E500" t="s">
        <v>8</v>
      </c>
      <c r="F500" t="s">
        <v>9</v>
      </c>
      <c r="O500">
        <f t="shared" si="13"/>
        <v>0</v>
      </c>
    </row>
    <row r="501" spans="1:15" hidden="1" x14ac:dyDescent="0.25">
      <c r="A501">
        <v>500</v>
      </c>
      <c r="B501" t="s">
        <v>115</v>
      </c>
      <c r="C501" t="s">
        <v>25</v>
      </c>
      <c r="D501">
        <v>6700</v>
      </c>
      <c r="E501" t="s">
        <v>38</v>
      </c>
      <c r="F501" t="s">
        <v>20</v>
      </c>
      <c r="O501">
        <f t="shared" si="13"/>
        <v>0</v>
      </c>
    </row>
  </sheetData>
  <autoFilter ref="D1:D501" xr:uid="{AA124BD7-1E42-438A-8E4E-2532B1A95BC4}">
    <filterColumn colId="0">
      <customFilters>
        <customFilter operator="lessThanOrEqual" val="0"/>
        <customFilter operator="greaterThanOrEqual" val="273792"/>
      </customFilters>
    </filterColumn>
  </autoFilter>
  <mergeCells count="2">
    <mergeCell ref="N2:R2"/>
    <mergeCell ref="T2:X2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>
      <selection activeCell="O11" sqref="O1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89</v>
      </c>
      <c r="C2" t="s">
        <v>293</v>
      </c>
      <c r="D2">
        <v>42500</v>
      </c>
      <c r="E2" t="s">
        <v>8</v>
      </c>
      <c r="F2" t="s">
        <v>9</v>
      </c>
    </row>
    <row r="3" spans="1:6" x14ac:dyDescent="0.25">
      <c r="A3">
        <v>2</v>
      </c>
      <c r="B3" t="s">
        <v>276</v>
      </c>
      <c r="C3" t="s">
        <v>294</v>
      </c>
      <c r="D3">
        <v>12900</v>
      </c>
      <c r="E3" t="s">
        <v>8</v>
      </c>
      <c r="F3" t="s">
        <v>9</v>
      </c>
    </row>
    <row r="4" spans="1:6" x14ac:dyDescent="0.25">
      <c r="A4">
        <v>3</v>
      </c>
      <c r="B4" t="s">
        <v>35</v>
      </c>
      <c r="C4" t="s">
        <v>295</v>
      </c>
      <c r="D4">
        <v>97800</v>
      </c>
      <c r="E4" t="s">
        <v>8</v>
      </c>
      <c r="F4" t="s">
        <v>9</v>
      </c>
    </row>
    <row r="5" spans="1:6" x14ac:dyDescent="0.25">
      <c r="A5">
        <v>4</v>
      </c>
      <c r="B5" t="s">
        <v>194</v>
      </c>
      <c r="C5" t="s">
        <v>296</v>
      </c>
      <c r="D5">
        <v>41800</v>
      </c>
      <c r="E5" t="s">
        <v>8</v>
      </c>
      <c r="F5" t="s">
        <v>9</v>
      </c>
    </row>
    <row r="6" spans="1:6" x14ac:dyDescent="0.25">
      <c r="A6">
        <v>5</v>
      </c>
      <c r="B6" t="s">
        <v>207</v>
      </c>
      <c r="C6" t="s">
        <v>297</v>
      </c>
      <c r="D6">
        <v>17600</v>
      </c>
      <c r="E6" t="s">
        <v>8</v>
      </c>
      <c r="F6" t="s">
        <v>9</v>
      </c>
    </row>
    <row r="7" spans="1:6" x14ac:dyDescent="0.25">
      <c r="A7">
        <v>6</v>
      </c>
      <c r="B7" t="s">
        <v>276</v>
      </c>
      <c r="C7" t="s">
        <v>298</v>
      </c>
      <c r="D7">
        <v>87300</v>
      </c>
      <c r="E7" t="s">
        <v>8</v>
      </c>
      <c r="F7" t="s">
        <v>9</v>
      </c>
    </row>
    <row r="8" spans="1:6" x14ac:dyDescent="0.25">
      <c r="A8">
        <v>7</v>
      </c>
      <c r="B8" t="s">
        <v>67</v>
      </c>
      <c r="C8" t="s">
        <v>299</v>
      </c>
      <c r="D8">
        <v>77500</v>
      </c>
      <c r="E8" t="s">
        <v>23</v>
      </c>
      <c r="F8" t="s">
        <v>9</v>
      </c>
    </row>
    <row r="9" spans="1:6" x14ac:dyDescent="0.25">
      <c r="A9">
        <v>8</v>
      </c>
      <c r="B9" t="s">
        <v>108</v>
      </c>
      <c r="C9" t="s">
        <v>300</v>
      </c>
      <c r="D9">
        <v>14600</v>
      </c>
      <c r="E9" t="s">
        <v>8</v>
      </c>
      <c r="F9" t="s">
        <v>9</v>
      </c>
    </row>
    <row r="10" spans="1:6" x14ac:dyDescent="0.25">
      <c r="A10">
        <v>9</v>
      </c>
      <c r="B10" t="s">
        <v>120</v>
      </c>
      <c r="C10" t="s">
        <v>301</v>
      </c>
      <c r="D10">
        <v>84600</v>
      </c>
      <c r="E10" t="s">
        <v>8</v>
      </c>
      <c r="F10" t="s">
        <v>9</v>
      </c>
    </row>
    <row r="11" spans="1:6" x14ac:dyDescent="0.25">
      <c r="A11">
        <v>10</v>
      </c>
      <c r="B11" t="s">
        <v>302</v>
      </c>
      <c r="C11" t="s">
        <v>303</v>
      </c>
      <c r="D11">
        <v>26000</v>
      </c>
      <c r="E11" t="s">
        <v>8</v>
      </c>
      <c r="F11" t="s">
        <v>9</v>
      </c>
    </row>
    <row r="12" spans="1:6" x14ac:dyDescent="0.25">
      <c r="A12">
        <v>11</v>
      </c>
      <c r="B12" t="s">
        <v>148</v>
      </c>
      <c r="C12" t="s">
        <v>304</v>
      </c>
      <c r="D12">
        <v>20200</v>
      </c>
      <c r="E12" t="s">
        <v>8</v>
      </c>
      <c r="F12" t="s">
        <v>9</v>
      </c>
    </row>
    <row r="13" spans="1:6" x14ac:dyDescent="0.25">
      <c r="A13">
        <v>12</v>
      </c>
      <c r="B13" t="s">
        <v>148</v>
      </c>
      <c r="C13" t="s">
        <v>305</v>
      </c>
      <c r="D13">
        <v>65400</v>
      </c>
      <c r="E13" t="s">
        <v>8</v>
      </c>
      <c r="F13" t="s">
        <v>9</v>
      </c>
    </row>
    <row r="14" spans="1:6" x14ac:dyDescent="0.25">
      <c r="A14">
        <v>13</v>
      </c>
      <c r="B14" t="s">
        <v>126</v>
      </c>
      <c r="C14" t="s">
        <v>293</v>
      </c>
      <c r="D14">
        <v>23900</v>
      </c>
      <c r="E14" t="s">
        <v>38</v>
      </c>
      <c r="F14" t="s">
        <v>20</v>
      </c>
    </row>
    <row r="15" spans="1:6" x14ac:dyDescent="0.25">
      <c r="A15">
        <v>14</v>
      </c>
      <c r="B15" t="s">
        <v>224</v>
      </c>
      <c r="C15" t="s">
        <v>294</v>
      </c>
      <c r="D15">
        <v>14400</v>
      </c>
      <c r="E15" t="s">
        <v>23</v>
      </c>
      <c r="F15" t="s">
        <v>9</v>
      </c>
    </row>
    <row r="16" spans="1:6" x14ac:dyDescent="0.25">
      <c r="A16">
        <v>15</v>
      </c>
      <c r="B16" t="s">
        <v>66</v>
      </c>
      <c r="C16" t="s">
        <v>295</v>
      </c>
      <c r="D16">
        <v>26100</v>
      </c>
      <c r="E16" t="s">
        <v>8</v>
      </c>
      <c r="F16" t="s">
        <v>9</v>
      </c>
    </row>
    <row r="17" spans="1:6" x14ac:dyDescent="0.25">
      <c r="A17">
        <v>16</v>
      </c>
      <c r="B17" t="s">
        <v>84</v>
      </c>
      <c r="C17" t="s">
        <v>296</v>
      </c>
      <c r="D17">
        <v>29200</v>
      </c>
      <c r="E17" t="s">
        <v>38</v>
      </c>
      <c r="F17" t="s">
        <v>9</v>
      </c>
    </row>
    <row r="18" spans="1:6" x14ac:dyDescent="0.25">
      <c r="A18">
        <v>17</v>
      </c>
      <c r="B18" t="s">
        <v>306</v>
      </c>
      <c r="C18" t="s">
        <v>297</v>
      </c>
      <c r="D18">
        <v>38400</v>
      </c>
      <c r="E18" t="s">
        <v>23</v>
      </c>
      <c r="F18" t="s">
        <v>9</v>
      </c>
    </row>
    <row r="19" spans="1:6" x14ac:dyDescent="0.25">
      <c r="A19">
        <v>18</v>
      </c>
      <c r="B19" t="s">
        <v>171</v>
      </c>
      <c r="C19" t="s">
        <v>298</v>
      </c>
      <c r="D19">
        <v>22600</v>
      </c>
      <c r="E19" t="s">
        <v>8</v>
      </c>
      <c r="F19" t="s">
        <v>9</v>
      </c>
    </row>
    <row r="20" spans="1:6" x14ac:dyDescent="0.25">
      <c r="A20">
        <v>19</v>
      </c>
      <c r="B20" t="s">
        <v>137</v>
      </c>
      <c r="C20" t="s">
        <v>299</v>
      </c>
      <c r="D20">
        <v>45300</v>
      </c>
      <c r="E20" t="s">
        <v>8</v>
      </c>
      <c r="F20" t="s">
        <v>9</v>
      </c>
    </row>
    <row r="21" spans="1:6" x14ac:dyDescent="0.25">
      <c r="A21">
        <v>20</v>
      </c>
      <c r="B21" t="s">
        <v>123</v>
      </c>
      <c r="C21" t="s">
        <v>300</v>
      </c>
      <c r="D21">
        <v>0</v>
      </c>
      <c r="E21" t="s">
        <v>8</v>
      </c>
      <c r="F21" t="s">
        <v>9</v>
      </c>
    </row>
    <row r="22" spans="1:6" x14ac:dyDescent="0.25">
      <c r="A22">
        <v>21</v>
      </c>
      <c r="B22" t="s">
        <v>66</v>
      </c>
      <c r="C22" t="s">
        <v>301</v>
      </c>
      <c r="D22">
        <v>38400</v>
      </c>
      <c r="E22" t="s">
        <v>8</v>
      </c>
      <c r="F22" t="s">
        <v>9</v>
      </c>
    </row>
    <row r="23" spans="1:6" x14ac:dyDescent="0.25">
      <c r="A23">
        <v>22</v>
      </c>
      <c r="B23" t="s">
        <v>237</v>
      </c>
      <c r="C23" t="s">
        <v>303</v>
      </c>
      <c r="D23">
        <v>38300</v>
      </c>
      <c r="E23" t="s">
        <v>8</v>
      </c>
      <c r="F23" t="s">
        <v>9</v>
      </c>
    </row>
    <row r="24" spans="1:6" x14ac:dyDescent="0.25">
      <c r="A24">
        <v>23</v>
      </c>
      <c r="B24" t="s">
        <v>148</v>
      </c>
      <c r="C24" t="s">
        <v>304</v>
      </c>
      <c r="D24">
        <v>6700</v>
      </c>
      <c r="E24" t="s">
        <v>38</v>
      </c>
      <c r="F24" t="s">
        <v>9</v>
      </c>
    </row>
    <row r="25" spans="1:6" x14ac:dyDescent="0.25">
      <c r="A25">
        <v>24</v>
      </c>
      <c r="B25" t="s">
        <v>307</v>
      </c>
      <c r="C25" t="s">
        <v>305</v>
      </c>
      <c r="D25">
        <v>45200</v>
      </c>
      <c r="E25" t="s">
        <v>8</v>
      </c>
      <c r="F25" t="s">
        <v>9</v>
      </c>
    </row>
    <row r="26" spans="1:6" x14ac:dyDescent="0.25">
      <c r="A26">
        <v>25</v>
      </c>
      <c r="B26" t="s">
        <v>308</v>
      </c>
      <c r="C26" t="s">
        <v>293</v>
      </c>
      <c r="D26">
        <v>19600</v>
      </c>
      <c r="E26" t="s">
        <v>8</v>
      </c>
      <c r="F26" t="s">
        <v>9</v>
      </c>
    </row>
    <row r="27" spans="1:6" x14ac:dyDescent="0.25">
      <c r="A27">
        <v>26</v>
      </c>
      <c r="B27" t="s">
        <v>61</v>
      </c>
      <c r="C27" t="s">
        <v>294</v>
      </c>
      <c r="D27">
        <v>12700</v>
      </c>
      <c r="E27" t="s">
        <v>8</v>
      </c>
      <c r="F27" t="s">
        <v>9</v>
      </c>
    </row>
    <row r="28" spans="1:6" x14ac:dyDescent="0.25">
      <c r="A28">
        <v>27</v>
      </c>
      <c r="B28" t="s">
        <v>278</v>
      </c>
      <c r="C28" t="s">
        <v>295</v>
      </c>
      <c r="D28">
        <v>34800</v>
      </c>
      <c r="E28" t="s">
        <v>8</v>
      </c>
      <c r="F28" t="s">
        <v>20</v>
      </c>
    </row>
    <row r="29" spans="1:6" x14ac:dyDescent="0.25">
      <c r="A29">
        <v>28</v>
      </c>
      <c r="B29" t="s">
        <v>30</v>
      </c>
      <c r="C29" t="s">
        <v>296</v>
      </c>
      <c r="D29">
        <v>12200</v>
      </c>
      <c r="E29" t="s">
        <v>8</v>
      </c>
      <c r="F29" t="s">
        <v>9</v>
      </c>
    </row>
    <row r="30" spans="1:6" x14ac:dyDescent="0.25">
      <c r="A30">
        <v>29</v>
      </c>
      <c r="B30" t="s">
        <v>309</v>
      </c>
      <c r="C30" t="s">
        <v>297</v>
      </c>
      <c r="D30">
        <v>43000</v>
      </c>
      <c r="E30" t="s">
        <v>8</v>
      </c>
      <c r="F30" t="s">
        <v>9</v>
      </c>
    </row>
    <row r="31" spans="1:6" x14ac:dyDescent="0.25">
      <c r="A31">
        <v>30</v>
      </c>
      <c r="B31" t="s">
        <v>310</v>
      </c>
      <c r="C31" t="s">
        <v>298</v>
      </c>
      <c r="D31">
        <v>131300</v>
      </c>
      <c r="E31" t="s">
        <v>8</v>
      </c>
      <c r="F31" t="s">
        <v>9</v>
      </c>
    </row>
    <row r="32" spans="1:6" x14ac:dyDescent="0.25">
      <c r="A32">
        <v>31</v>
      </c>
      <c r="B32" t="s">
        <v>262</v>
      </c>
      <c r="C32" t="s">
        <v>299</v>
      </c>
      <c r="D32">
        <v>87400</v>
      </c>
      <c r="E32" t="s">
        <v>8</v>
      </c>
      <c r="F32" t="s">
        <v>9</v>
      </c>
    </row>
    <row r="33" spans="1:6" x14ac:dyDescent="0.25">
      <c r="A33">
        <v>32</v>
      </c>
      <c r="B33" t="s">
        <v>284</v>
      </c>
      <c r="C33" t="s">
        <v>300</v>
      </c>
      <c r="D33">
        <v>30400</v>
      </c>
      <c r="E33" t="s">
        <v>38</v>
      </c>
      <c r="F33" t="s">
        <v>20</v>
      </c>
    </row>
    <row r="34" spans="1:6" x14ac:dyDescent="0.25">
      <c r="A34">
        <v>33</v>
      </c>
      <c r="B34" t="s">
        <v>311</v>
      </c>
      <c r="C34" t="s">
        <v>301</v>
      </c>
      <c r="D34">
        <v>15400</v>
      </c>
      <c r="E34" t="s">
        <v>8</v>
      </c>
      <c r="F34" t="s">
        <v>9</v>
      </c>
    </row>
    <row r="35" spans="1:6" x14ac:dyDescent="0.25">
      <c r="A35">
        <v>34</v>
      </c>
      <c r="B35" t="s">
        <v>191</v>
      </c>
      <c r="C35" t="s">
        <v>303</v>
      </c>
      <c r="D35">
        <v>43500</v>
      </c>
      <c r="E35" t="s">
        <v>8</v>
      </c>
      <c r="F35" t="s">
        <v>9</v>
      </c>
    </row>
    <row r="36" spans="1:6" x14ac:dyDescent="0.25">
      <c r="A36">
        <v>35</v>
      </c>
      <c r="B36" t="s">
        <v>6</v>
      </c>
      <c r="C36" t="s">
        <v>304</v>
      </c>
      <c r="D36">
        <v>30200</v>
      </c>
      <c r="E36" t="s">
        <v>8</v>
      </c>
      <c r="F36" t="s">
        <v>9</v>
      </c>
    </row>
    <row r="37" spans="1:6" x14ac:dyDescent="0.25">
      <c r="A37">
        <v>36</v>
      </c>
      <c r="B37" t="s">
        <v>189</v>
      </c>
      <c r="C37" t="s">
        <v>305</v>
      </c>
      <c r="D37">
        <v>69200</v>
      </c>
      <c r="E37" t="s">
        <v>8</v>
      </c>
      <c r="F37" t="s">
        <v>9</v>
      </c>
    </row>
    <row r="38" spans="1:6" x14ac:dyDescent="0.25">
      <c r="A38">
        <v>37</v>
      </c>
      <c r="B38" t="s">
        <v>143</v>
      </c>
      <c r="C38" t="s">
        <v>293</v>
      </c>
      <c r="D38">
        <v>21900</v>
      </c>
      <c r="E38" t="s">
        <v>8</v>
      </c>
      <c r="F38" t="s">
        <v>9</v>
      </c>
    </row>
    <row r="39" spans="1:6" x14ac:dyDescent="0.25">
      <c r="A39">
        <v>38</v>
      </c>
      <c r="B39" t="s">
        <v>158</v>
      </c>
      <c r="C39" t="s">
        <v>294</v>
      </c>
      <c r="D39">
        <v>23600</v>
      </c>
      <c r="E39" t="s">
        <v>8</v>
      </c>
      <c r="F39" t="s">
        <v>20</v>
      </c>
    </row>
    <row r="40" spans="1:6" x14ac:dyDescent="0.25">
      <c r="A40">
        <v>39</v>
      </c>
      <c r="B40" t="s">
        <v>181</v>
      </c>
      <c r="C40" t="s">
        <v>295</v>
      </c>
      <c r="D40">
        <v>25800</v>
      </c>
      <c r="E40" t="s">
        <v>23</v>
      </c>
      <c r="F40" t="s">
        <v>9</v>
      </c>
    </row>
    <row r="41" spans="1:6" x14ac:dyDescent="0.25">
      <c r="A41">
        <v>40</v>
      </c>
      <c r="B41" t="s">
        <v>312</v>
      </c>
      <c r="C41" t="s">
        <v>296</v>
      </c>
      <c r="D41">
        <v>85700</v>
      </c>
      <c r="E41" t="s">
        <v>38</v>
      </c>
      <c r="F41" t="s">
        <v>20</v>
      </c>
    </row>
    <row r="42" spans="1:6" x14ac:dyDescent="0.25">
      <c r="A42">
        <v>41</v>
      </c>
      <c r="B42" t="s">
        <v>184</v>
      </c>
      <c r="C42" t="s">
        <v>297</v>
      </c>
      <c r="D42">
        <v>81400</v>
      </c>
      <c r="E42" t="s">
        <v>8</v>
      </c>
      <c r="F42" t="s">
        <v>9</v>
      </c>
    </row>
    <row r="43" spans="1:6" x14ac:dyDescent="0.25">
      <c r="A43">
        <v>42</v>
      </c>
      <c r="B43" t="s">
        <v>166</v>
      </c>
      <c r="C43" t="s">
        <v>298</v>
      </c>
      <c r="D43">
        <v>33200</v>
      </c>
      <c r="E43" t="s">
        <v>8</v>
      </c>
      <c r="F43" t="s">
        <v>9</v>
      </c>
    </row>
    <row r="44" spans="1:6" x14ac:dyDescent="0.25">
      <c r="A44">
        <v>43</v>
      </c>
      <c r="B44" t="s">
        <v>313</v>
      </c>
      <c r="C44" t="s">
        <v>299</v>
      </c>
      <c r="D44">
        <v>65200</v>
      </c>
      <c r="E44" t="s">
        <v>38</v>
      </c>
      <c r="F44" t="s">
        <v>20</v>
      </c>
    </row>
    <row r="45" spans="1:6" x14ac:dyDescent="0.25">
      <c r="A45">
        <v>44</v>
      </c>
      <c r="B45" t="s">
        <v>137</v>
      </c>
      <c r="C45" t="s">
        <v>300</v>
      </c>
      <c r="D45">
        <v>27000</v>
      </c>
      <c r="E45" t="s">
        <v>38</v>
      </c>
      <c r="F45" t="s">
        <v>20</v>
      </c>
    </row>
    <row r="46" spans="1:6" x14ac:dyDescent="0.25">
      <c r="A46">
        <v>45</v>
      </c>
      <c r="B46" t="s">
        <v>160</v>
      </c>
      <c r="C46" t="s">
        <v>301</v>
      </c>
      <c r="D46">
        <v>46700</v>
      </c>
      <c r="E46" t="s">
        <v>8</v>
      </c>
      <c r="F46" t="s">
        <v>9</v>
      </c>
    </row>
    <row r="47" spans="1:6" x14ac:dyDescent="0.25">
      <c r="A47">
        <v>46</v>
      </c>
      <c r="B47" t="s">
        <v>314</v>
      </c>
      <c r="C47" t="s">
        <v>303</v>
      </c>
      <c r="D47">
        <v>19400</v>
      </c>
      <c r="E47" t="s">
        <v>8</v>
      </c>
      <c r="F47" t="s">
        <v>9</v>
      </c>
    </row>
    <row r="48" spans="1:6" x14ac:dyDescent="0.25">
      <c r="A48">
        <v>47</v>
      </c>
      <c r="B48" t="s">
        <v>315</v>
      </c>
      <c r="C48" t="s">
        <v>304</v>
      </c>
      <c r="D48">
        <v>44300</v>
      </c>
      <c r="E48" t="s">
        <v>8</v>
      </c>
      <c r="F48" t="s">
        <v>9</v>
      </c>
    </row>
    <row r="49" spans="1:6" x14ac:dyDescent="0.25">
      <c r="A49">
        <v>48</v>
      </c>
      <c r="B49" t="s">
        <v>316</v>
      </c>
      <c r="C49" t="s">
        <v>305</v>
      </c>
      <c r="D49">
        <v>32000</v>
      </c>
      <c r="E49" t="s">
        <v>8</v>
      </c>
      <c r="F49" t="s">
        <v>9</v>
      </c>
    </row>
    <row r="50" spans="1:6" x14ac:dyDescent="0.25">
      <c r="A50">
        <v>49</v>
      </c>
      <c r="B50" t="s">
        <v>37</v>
      </c>
      <c r="C50" t="s">
        <v>293</v>
      </c>
      <c r="D50">
        <v>47800</v>
      </c>
      <c r="E50" t="s">
        <v>8</v>
      </c>
      <c r="F50" t="s">
        <v>9</v>
      </c>
    </row>
    <row r="51" spans="1:6" x14ac:dyDescent="0.25">
      <c r="A51">
        <v>50</v>
      </c>
      <c r="B51" t="s">
        <v>40</v>
      </c>
      <c r="C51" t="s">
        <v>294</v>
      </c>
      <c r="D51">
        <v>35800</v>
      </c>
      <c r="E51" t="s">
        <v>8</v>
      </c>
      <c r="F51" t="s">
        <v>9</v>
      </c>
    </row>
    <row r="52" spans="1:6" x14ac:dyDescent="0.25">
      <c r="A52">
        <v>51</v>
      </c>
      <c r="B52" t="s">
        <v>317</v>
      </c>
      <c r="C52" t="s">
        <v>295</v>
      </c>
      <c r="D52">
        <v>30400</v>
      </c>
      <c r="E52" t="s">
        <v>8</v>
      </c>
      <c r="F52" t="s">
        <v>9</v>
      </c>
    </row>
    <row r="53" spans="1:6" x14ac:dyDescent="0.25">
      <c r="A53">
        <v>52</v>
      </c>
      <c r="B53" t="s">
        <v>133</v>
      </c>
      <c r="C53" t="s">
        <v>296</v>
      </c>
      <c r="D53">
        <v>89900</v>
      </c>
      <c r="E53" t="s">
        <v>23</v>
      </c>
      <c r="F53" t="s">
        <v>9</v>
      </c>
    </row>
    <row r="54" spans="1:6" x14ac:dyDescent="0.25">
      <c r="A54">
        <v>53</v>
      </c>
      <c r="B54" t="s">
        <v>57</v>
      </c>
      <c r="C54" t="s">
        <v>297</v>
      </c>
      <c r="D54">
        <v>25100</v>
      </c>
      <c r="E54" t="s">
        <v>8</v>
      </c>
      <c r="F54" t="s">
        <v>9</v>
      </c>
    </row>
    <row r="55" spans="1:6" x14ac:dyDescent="0.25">
      <c r="A55">
        <v>54</v>
      </c>
      <c r="B55" t="s">
        <v>265</v>
      </c>
      <c r="C55" t="s">
        <v>298</v>
      </c>
      <c r="D55">
        <v>13500</v>
      </c>
      <c r="E55" t="s">
        <v>8</v>
      </c>
      <c r="F55" t="s">
        <v>9</v>
      </c>
    </row>
    <row r="56" spans="1:6" x14ac:dyDescent="0.25">
      <c r="A56">
        <v>55</v>
      </c>
      <c r="B56" t="s">
        <v>317</v>
      </c>
      <c r="C56" t="s">
        <v>299</v>
      </c>
      <c r="D56">
        <v>50700</v>
      </c>
      <c r="E56" t="s">
        <v>8</v>
      </c>
      <c r="F56" t="s">
        <v>9</v>
      </c>
    </row>
    <row r="57" spans="1:6" x14ac:dyDescent="0.25">
      <c r="A57">
        <v>56</v>
      </c>
      <c r="B57" t="s">
        <v>252</v>
      </c>
      <c r="C57" t="s">
        <v>300</v>
      </c>
      <c r="D57">
        <v>21100</v>
      </c>
      <c r="E57" t="s">
        <v>8</v>
      </c>
      <c r="F57" t="s">
        <v>9</v>
      </c>
    </row>
    <row r="58" spans="1:6" x14ac:dyDescent="0.25">
      <c r="A58">
        <v>57</v>
      </c>
      <c r="B58" t="s">
        <v>318</v>
      </c>
      <c r="C58" t="s">
        <v>301</v>
      </c>
      <c r="D58">
        <v>30600</v>
      </c>
      <c r="E58" t="s">
        <v>8</v>
      </c>
      <c r="F58" t="s">
        <v>9</v>
      </c>
    </row>
    <row r="59" spans="1:6" x14ac:dyDescent="0.25">
      <c r="A59">
        <v>58</v>
      </c>
      <c r="B59" t="s">
        <v>319</v>
      </c>
      <c r="C59" t="s">
        <v>303</v>
      </c>
      <c r="D59">
        <v>51500</v>
      </c>
      <c r="E59" t="s">
        <v>8</v>
      </c>
      <c r="F59" t="s">
        <v>9</v>
      </c>
    </row>
    <row r="60" spans="1:6" x14ac:dyDescent="0.25">
      <c r="A60">
        <v>59</v>
      </c>
      <c r="B60" t="s">
        <v>320</v>
      </c>
      <c r="C60" t="s">
        <v>304</v>
      </c>
      <c r="D60">
        <v>26300</v>
      </c>
      <c r="E60" t="s">
        <v>38</v>
      </c>
      <c r="F60" t="s">
        <v>9</v>
      </c>
    </row>
    <row r="61" spans="1:6" x14ac:dyDescent="0.25">
      <c r="A61">
        <v>60</v>
      </c>
      <c r="B61" t="s">
        <v>201</v>
      </c>
      <c r="C61" t="s">
        <v>305</v>
      </c>
      <c r="D61">
        <v>25200</v>
      </c>
      <c r="E61" t="s">
        <v>8</v>
      </c>
      <c r="F61" t="s">
        <v>9</v>
      </c>
    </row>
    <row r="62" spans="1:6" x14ac:dyDescent="0.25">
      <c r="A62">
        <v>61</v>
      </c>
      <c r="B62" t="s">
        <v>125</v>
      </c>
      <c r="C62" t="s">
        <v>293</v>
      </c>
      <c r="D62">
        <v>39000</v>
      </c>
      <c r="E62" t="s">
        <v>38</v>
      </c>
      <c r="F62" t="s">
        <v>9</v>
      </c>
    </row>
    <row r="63" spans="1:6" x14ac:dyDescent="0.25">
      <c r="A63">
        <v>62</v>
      </c>
      <c r="B63" t="s">
        <v>95</v>
      </c>
      <c r="C63" t="s">
        <v>294</v>
      </c>
      <c r="D63">
        <v>95400</v>
      </c>
      <c r="E63" t="s">
        <v>8</v>
      </c>
      <c r="F63" t="s">
        <v>9</v>
      </c>
    </row>
    <row r="64" spans="1:6" x14ac:dyDescent="0.25">
      <c r="A64">
        <v>63</v>
      </c>
      <c r="B64" t="s">
        <v>32</v>
      </c>
      <c r="C64" t="s">
        <v>295</v>
      </c>
      <c r="D64">
        <v>13700</v>
      </c>
      <c r="E64" t="s">
        <v>8</v>
      </c>
      <c r="F64" t="s">
        <v>9</v>
      </c>
    </row>
    <row r="65" spans="1:6" x14ac:dyDescent="0.25">
      <c r="A65">
        <v>64</v>
      </c>
      <c r="B65" t="s">
        <v>44</v>
      </c>
      <c r="C65" t="s">
        <v>296</v>
      </c>
      <c r="D65">
        <v>59100</v>
      </c>
      <c r="E65" t="s">
        <v>8</v>
      </c>
      <c r="F65" t="s">
        <v>9</v>
      </c>
    </row>
    <row r="66" spans="1:6" x14ac:dyDescent="0.25">
      <c r="A66">
        <v>65</v>
      </c>
      <c r="B66" t="s">
        <v>321</v>
      </c>
      <c r="C66" t="s">
        <v>297</v>
      </c>
      <c r="D66">
        <v>53600</v>
      </c>
      <c r="E66" t="s">
        <v>8</v>
      </c>
      <c r="F66" t="s">
        <v>9</v>
      </c>
    </row>
    <row r="67" spans="1:6" x14ac:dyDescent="0.25">
      <c r="A67">
        <v>66</v>
      </c>
      <c r="B67" t="s">
        <v>51</v>
      </c>
      <c r="C67" t="s">
        <v>298</v>
      </c>
      <c r="D67">
        <v>48600</v>
      </c>
      <c r="E67" t="s">
        <v>8</v>
      </c>
      <c r="F67" t="s">
        <v>9</v>
      </c>
    </row>
    <row r="68" spans="1:6" x14ac:dyDescent="0.25">
      <c r="A68">
        <v>67</v>
      </c>
      <c r="B68" t="s">
        <v>322</v>
      </c>
      <c r="C68" t="s">
        <v>299</v>
      </c>
      <c r="D68">
        <v>43200</v>
      </c>
      <c r="E68" t="s">
        <v>8</v>
      </c>
      <c r="F68" t="s">
        <v>9</v>
      </c>
    </row>
    <row r="69" spans="1:6" x14ac:dyDescent="0.25">
      <c r="A69">
        <v>68</v>
      </c>
      <c r="B69" t="s">
        <v>62</v>
      </c>
      <c r="C69" t="s">
        <v>300</v>
      </c>
      <c r="D69">
        <v>14300</v>
      </c>
      <c r="E69" t="s">
        <v>8</v>
      </c>
      <c r="F69" t="s">
        <v>9</v>
      </c>
    </row>
    <row r="70" spans="1:6" x14ac:dyDescent="0.25">
      <c r="A70">
        <v>69</v>
      </c>
      <c r="B70" t="s">
        <v>108</v>
      </c>
      <c r="C70" t="s">
        <v>301</v>
      </c>
      <c r="D70">
        <v>33900</v>
      </c>
      <c r="E70" t="s">
        <v>8</v>
      </c>
      <c r="F70" t="s">
        <v>9</v>
      </c>
    </row>
    <row r="71" spans="1:6" x14ac:dyDescent="0.25">
      <c r="A71">
        <v>70</v>
      </c>
      <c r="B71" t="s">
        <v>285</v>
      </c>
      <c r="C71" t="s">
        <v>303</v>
      </c>
      <c r="D71">
        <v>24500</v>
      </c>
      <c r="E71" t="s">
        <v>8</v>
      </c>
      <c r="F71" t="s">
        <v>9</v>
      </c>
    </row>
    <row r="72" spans="1:6" x14ac:dyDescent="0.25">
      <c r="A72">
        <v>71</v>
      </c>
      <c r="B72" t="s">
        <v>104</v>
      </c>
      <c r="C72" t="s">
        <v>304</v>
      </c>
      <c r="D72">
        <v>43600</v>
      </c>
      <c r="E72" t="s">
        <v>8</v>
      </c>
      <c r="F72" t="s">
        <v>9</v>
      </c>
    </row>
    <row r="73" spans="1:6" x14ac:dyDescent="0.25">
      <c r="A73">
        <v>72</v>
      </c>
      <c r="B73" t="s">
        <v>323</v>
      </c>
      <c r="C73" t="s">
        <v>305</v>
      </c>
      <c r="D73">
        <v>35600</v>
      </c>
      <c r="E73" t="s">
        <v>38</v>
      </c>
      <c r="F73" t="s">
        <v>9</v>
      </c>
    </row>
    <row r="74" spans="1:6" x14ac:dyDescent="0.25">
      <c r="A74">
        <v>73</v>
      </c>
      <c r="B74" t="s">
        <v>285</v>
      </c>
      <c r="C74" t="s">
        <v>293</v>
      </c>
      <c r="D74">
        <v>17600</v>
      </c>
      <c r="E74" t="s">
        <v>8</v>
      </c>
      <c r="F74" t="s">
        <v>20</v>
      </c>
    </row>
    <row r="75" spans="1:6" x14ac:dyDescent="0.25">
      <c r="A75">
        <v>74</v>
      </c>
      <c r="B75" t="s">
        <v>26</v>
      </c>
      <c r="C75" t="s">
        <v>294</v>
      </c>
      <c r="D75">
        <v>17100</v>
      </c>
      <c r="E75" t="s">
        <v>8</v>
      </c>
      <c r="F75" t="s">
        <v>9</v>
      </c>
    </row>
    <row r="76" spans="1:6" x14ac:dyDescent="0.25">
      <c r="A76">
        <v>75</v>
      </c>
      <c r="B76" t="s">
        <v>73</v>
      </c>
      <c r="C76" t="s">
        <v>295</v>
      </c>
      <c r="D76">
        <v>19600</v>
      </c>
      <c r="E76" t="s">
        <v>8</v>
      </c>
      <c r="F76" t="s">
        <v>9</v>
      </c>
    </row>
    <row r="77" spans="1:6" x14ac:dyDescent="0.25">
      <c r="A77">
        <v>76</v>
      </c>
      <c r="B77" t="s">
        <v>241</v>
      </c>
      <c r="C77" t="s">
        <v>296</v>
      </c>
      <c r="D77">
        <v>89400</v>
      </c>
      <c r="E77" t="s">
        <v>8</v>
      </c>
      <c r="F77" t="s">
        <v>9</v>
      </c>
    </row>
    <row r="78" spans="1:6" x14ac:dyDescent="0.25">
      <c r="A78">
        <v>77</v>
      </c>
      <c r="B78" t="s">
        <v>324</v>
      </c>
      <c r="C78" t="s">
        <v>297</v>
      </c>
      <c r="D78">
        <v>94600</v>
      </c>
      <c r="E78" t="s">
        <v>38</v>
      </c>
      <c r="F78" t="s">
        <v>20</v>
      </c>
    </row>
    <row r="79" spans="1:6" x14ac:dyDescent="0.25">
      <c r="A79">
        <v>78</v>
      </c>
      <c r="B79" t="s">
        <v>216</v>
      </c>
      <c r="C79" t="s">
        <v>298</v>
      </c>
      <c r="D79">
        <v>88500</v>
      </c>
      <c r="E79" t="s">
        <v>8</v>
      </c>
      <c r="F79" t="s">
        <v>9</v>
      </c>
    </row>
    <row r="80" spans="1:6" x14ac:dyDescent="0.25">
      <c r="A80">
        <v>79</v>
      </c>
      <c r="B80" t="s">
        <v>183</v>
      </c>
      <c r="C80" t="s">
        <v>299</v>
      </c>
      <c r="D80">
        <v>53700</v>
      </c>
      <c r="E80" t="s">
        <v>38</v>
      </c>
      <c r="F80" t="s">
        <v>20</v>
      </c>
    </row>
    <row r="81" spans="1:6" x14ac:dyDescent="0.25">
      <c r="A81">
        <v>80</v>
      </c>
      <c r="B81" t="s">
        <v>48</v>
      </c>
      <c r="C81" t="s">
        <v>300</v>
      </c>
      <c r="D81">
        <v>52900</v>
      </c>
      <c r="E81" t="s">
        <v>8</v>
      </c>
      <c r="F81" t="s">
        <v>9</v>
      </c>
    </row>
    <row r="82" spans="1:6" x14ac:dyDescent="0.25">
      <c r="A82">
        <v>81</v>
      </c>
      <c r="B82" t="s">
        <v>132</v>
      </c>
      <c r="C82" t="s">
        <v>301</v>
      </c>
      <c r="D82">
        <v>63100</v>
      </c>
      <c r="E82" t="s">
        <v>8</v>
      </c>
      <c r="F82" t="s">
        <v>9</v>
      </c>
    </row>
    <row r="83" spans="1:6" x14ac:dyDescent="0.25">
      <c r="A83">
        <v>82</v>
      </c>
      <c r="B83" t="s">
        <v>149</v>
      </c>
      <c r="C83" t="s">
        <v>303</v>
      </c>
      <c r="D83">
        <v>76100</v>
      </c>
      <c r="E83" t="s">
        <v>8</v>
      </c>
      <c r="F83" t="s">
        <v>9</v>
      </c>
    </row>
    <row r="84" spans="1:6" x14ac:dyDescent="0.25">
      <c r="A84">
        <v>83</v>
      </c>
      <c r="B84" t="s">
        <v>325</v>
      </c>
      <c r="C84" t="s">
        <v>304</v>
      </c>
      <c r="D84">
        <v>44900</v>
      </c>
      <c r="E84" t="s">
        <v>8</v>
      </c>
      <c r="F84" t="s">
        <v>9</v>
      </c>
    </row>
    <row r="85" spans="1:6" x14ac:dyDescent="0.25">
      <c r="A85">
        <v>84</v>
      </c>
      <c r="B85" t="s">
        <v>202</v>
      </c>
      <c r="C85" t="s">
        <v>305</v>
      </c>
      <c r="D85">
        <v>78500</v>
      </c>
      <c r="E85" t="s">
        <v>8</v>
      </c>
      <c r="F85" t="s">
        <v>9</v>
      </c>
    </row>
    <row r="86" spans="1:6" x14ac:dyDescent="0.25">
      <c r="A86">
        <v>85</v>
      </c>
      <c r="B86" t="s">
        <v>176</v>
      </c>
      <c r="C86" t="s">
        <v>293</v>
      </c>
      <c r="D86">
        <v>77500</v>
      </c>
      <c r="E86" t="s">
        <v>8</v>
      </c>
      <c r="F86" t="s">
        <v>9</v>
      </c>
    </row>
    <row r="87" spans="1:6" x14ac:dyDescent="0.25">
      <c r="A87">
        <v>86</v>
      </c>
      <c r="B87" t="s">
        <v>129</v>
      </c>
      <c r="C87" t="s">
        <v>294</v>
      </c>
      <c r="D87">
        <v>23000</v>
      </c>
      <c r="E87" t="s">
        <v>8</v>
      </c>
      <c r="F87" t="s">
        <v>9</v>
      </c>
    </row>
    <row r="88" spans="1:6" x14ac:dyDescent="0.25">
      <c r="A88">
        <v>87</v>
      </c>
      <c r="B88" t="s">
        <v>326</v>
      </c>
      <c r="C88" t="s">
        <v>295</v>
      </c>
      <c r="D88">
        <v>19100</v>
      </c>
      <c r="E88" t="s">
        <v>23</v>
      </c>
      <c r="F88" t="s">
        <v>9</v>
      </c>
    </row>
    <row r="89" spans="1:6" x14ac:dyDescent="0.25">
      <c r="A89">
        <v>88</v>
      </c>
      <c r="B89" t="s">
        <v>199</v>
      </c>
      <c r="C89" t="s">
        <v>296</v>
      </c>
      <c r="D89">
        <v>33600</v>
      </c>
      <c r="E89" t="s">
        <v>8</v>
      </c>
      <c r="F89" t="s">
        <v>9</v>
      </c>
    </row>
    <row r="90" spans="1:6" x14ac:dyDescent="0.25">
      <c r="A90">
        <v>89</v>
      </c>
      <c r="B90" t="s">
        <v>327</v>
      </c>
      <c r="C90" t="s">
        <v>297</v>
      </c>
      <c r="D90">
        <v>32400</v>
      </c>
      <c r="E90" t="s">
        <v>8</v>
      </c>
      <c r="F90" t="s">
        <v>9</v>
      </c>
    </row>
    <row r="91" spans="1:6" x14ac:dyDescent="0.25">
      <c r="A91">
        <v>90</v>
      </c>
      <c r="B91" t="s">
        <v>62</v>
      </c>
      <c r="C91" t="s">
        <v>298</v>
      </c>
      <c r="D91">
        <v>47200</v>
      </c>
      <c r="E91" t="s">
        <v>8</v>
      </c>
      <c r="F91" t="s">
        <v>9</v>
      </c>
    </row>
    <row r="92" spans="1:6" x14ac:dyDescent="0.25">
      <c r="A92">
        <v>91</v>
      </c>
      <c r="B92" t="s">
        <v>132</v>
      </c>
      <c r="C92" t="s">
        <v>299</v>
      </c>
      <c r="D92">
        <v>111200</v>
      </c>
      <c r="E92" t="s">
        <v>8</v>
      </c>
      <c r="F92" t="s">
        <v>9</v>
      </c>
    </row>
    <row r="93" spans="1:6" x14ac:dyDescent="0.25">
      <c r="A93">
        <v>92</v>
      </c>
      <c r="B93" t="s">
        <v>328</v>
      </c>
      <c r="C93" t="s">
        <v>300</v>
      </c>
      <c r="D93">
        <v>32900</v>
      </c>
      <c r="E93" t="s">
        <v>8</v>
      </c>
      <c r="F93" t="s">
        <v>9</v>
      </c>
    </row>
    <row r="94" spans="1:6" x14ac:dyDescent="0.25">
      <c r="A94">
        <v>93</v>
      </c>
      <c r="B94" t="s">
        <v>225</v>
      </c>
      <c r="C94" t="s">
        <v>301</v>
      </c>
      <c r="D94">
        <v>200300</v>
      </c>
      <c r="E94" t="s">
        <v>8</v>
      </c>
      <c r="F94" t="s">
        <v>20</v>
      </c>
    </row>
    <row r="95" spans="1:6" x14ac:dyDescent="0.25">
      <c r="A95">
        <v>94</v>
      </c>
      <c r="B95" t="s">
        <v>212</v>
      </c>
      <c r="C95" t="s">
        <v>303</v>
      </c>
      <c r="D95">
        <v>20700</v>
      </c>
      <c r="E95" t="s">
        <v>8</v>
      </c>
      <c r="F95" t="s">
        <v>9</v>
      </c>
    </row>
    <row r="96" spans="1:6" x14ac:dyDescent="0.25">
      <c r="A96">
        <v>95</v>
      </c>
      <c r="B96" t="s">
        <v>51</v>
      </c>
      <c r="C96" t="s">
        <v>304</v>
      </c>
      <c r="D96">
        <v>44700</v>
      </c>
      <c r="E96" t="s">
        <v>8</v>
      </c>
      <c r="F96" t="s">
        <v>9</v>
      </c>
    </row>
    <row r="97" spans="1:6" x14ac:dyDescent="0.25">
      <c r="A97">
        <v>96</v>
      </c>
      <c r="B97" t="s">
        <v>248</v>
      </c>
      <c r="C97" t="s">
        <v>305</v>
      </c>
      <c r="D97">
        <v>14900</v>
      </c>
      <c r="E97" t="s">
        <v>23</v>
      </c>
      <c r="F97" t="s">
        <v>9</v>
      </c>
    </row>
    <row r="98" spans="1:6" x14ac:dyDescent="0.25">
      <c r="A98">
        <v>97</v>
      </c>
      <c r="B98" t="s">
        <v>317</v>
      </c>
      <c r="C98" t="s">
        <v>293</v>
      </c>
      <c r="D98">
        <v>24900</v>
      </c>
      <c r="E98" t="s">
        <v>8</v>
      </c>
      <c r="F98" t="s">
        <v>9</v>
      </c>
    </row>
    <row r="99" spans="1:6" x14ac:dyDescent="0.25">
      <c r="A99">
        <v>98</v>
      </c>
      <c r="B99" t="s">
        <v>99</v>
      </c>
      <c r="C99" t="s">
        <v>294</v>
      </c>
      <c r="D99">
        <v>48300</v>
      </c>
      <c r="E99" t="s">
        <v>8</v>
      </c>
      <c r="F99" t="s">
        <v>9</v>
      </c>
    </row>
    <row r="100" spans="1:6" x14ac:dyDescent="0.25">
      <c r="A100">
        <v>99</v>
      </c>
      <c r="B100" t="s">
        <v>329</v>
      </c>
      <c r="C100" t="s">
        <v>295</v>
      </c>
      <c r="D100">
        <v>82300</v>
      </c>
      <c r="E100" t="s">
        <v>8</v>
      </c>
      <c r="F100" t="s">
        <v>9</v>
      </c>
    </row>
    <row r="101" spans="1:6" x14ac:dyDescent="0.25">
      <c r="A101">
        <v>100</v>
      </c>
      <c r="B101" t="s">
        <v>262</v>
      </c>
      <c r="C101" t="s">
        <v>296</v>
      </c>
      <c r="D101">
        <v>74500</v>
      </c>
      <c r="E101" t="s">
        <v>8</v>
      </c>
      <c r="F101" t="s">
        <v>9</v>
      </c>
    </row>
    <row r="102" spans="1:6" x14ac:dyDescent="0.25">
      <c r="A102">
        <v>101</v>
      </c>
      <c r="B102" t="s">
        <v>281</v>
      </c>
      <c r="C102" t="s">
        <v>297</v>
      </c>
      <c r="D102">
        <v>20600</v>
      </c>
      <c r="E102" t="s">
        <v>8</v>
      </c>
      <c r="F102" t="s">
        <v>9</v>
      </c>
    </row>
    <row r="103" spans="1:6" x14ac:dyDescent="0.25">
      <c r="A103">
        <v>102</v>
      </c>
      <c r="B103" t="s">
        <v>325</v>
      </c>
      <c r="C103" t="s">
        <v>298</v>
      </c>
      <c r="D103">
        <v>44200</v>
      </c>
      <c r="E103" t="s">
        <v>8</v>
      </c>
      <c r="F103" t="s">
        <v>9</v>
      </c>
    </row>
    <row r="104" spans="1:6" x14ac:dyDescent="0.25">
      <c r="A104">
        <v>103</v>
      </c>
      <c r="B104" t="s">
        <v>110</v>
      </c>
      <c r="C104" t="s">
        <v>299</v>
      </c>
      <c r="D104">
        <v>149600</v>
      </c>
      <c r="E104" t="s">
        <v>8</v>
      </c>
      <c r="F104" t="s">
        <v>9</v>
      </c>
    </row>
    <row r="105" spans="1:6" x14ac:dyDescent="0.25">
      <c r="A105">
        <v>104</v>
      </c>
      <c r="B105" t="s">
        <v>36</v>
      </c>
      <c r="C105" t="s">
        <v>300</v>
      </c>
      <c r="D105">
        <v>13100</v>
      </c>
      <c r="E105" t="s">
        <v>8</v>
      </c>
      <c r="F105" t="s">
        <v>9</v>
      </c>
    </row>
    <row r="106" spans="1:6" x14ac:dyDescent="0.25">
      <c r="A106">
        <v>105</v>
      </c>
      <c r="B106" t="s">
        <v>265</v>
      </c>
      <c r="C106" t="s">
        <v>301</v>
      </c>
      <c r="D106">
        <v>15100</v>
      </c>
      <c r="E106" t="s">
        <v>8</v>
      </c>
      <c r="F106" t="s">
        <v>9</v>
      </c>
    </row>
    <row r="107" spans="1:6" x14ac:dyDescent="0.25">
      <c r="A107">
        <v>106</v>
      </c>
      <c r="B107" t="s">
        <v>46</v>
      </c>
      <c r="C107" t="s">
        <v>303</v>
      </c>
      <c r="D107">
        <v>40100</v>
      </c>
      <c r="E107" t="s">
        <v>8</v>
      </c>
      <c r="F107" t="s">
        <v>9</v>
      </c>
    </row>
    <row r="108" spans="1:6" x14ac:dyDescent="0.25">
      <c r="A108">
        <v>107</v>
      </c>
      <c r="B108" t="s">
        <v>119</v>
      </c>
      <c r="C108" t="s">
        <v>304</v>
      </c>
      <c r="D108">
        <v>28800</v>
      </c>
      <c r="E108" t="s">
        <v>8</v>
      </c>
      <c r="F108" t="s">
        <v>9</v>
      </c>
    </row>
    <row r="109" spans="1:6" x14ac:dyDescent="0.25">
      <c r="A109">
        <v>108</v>
      </c>
      <c r="B109" t="s">
        <v>313</v>
      </c>
      <c r="C109" t="s">
        <v>305</v>
      </c>
      <c r="D109">
        <v>30200</v>
      </c>
      <c r="E109" t="s">
        <v>8</v>
      </c>
      <c r="F109" t="s">
        <v>9</v>
      </c>
    </row>
    <row r="110" spans="1:6" x14ac:dyDescent="0.25">
      <c r="A110">
        <v>109</v>
      </c>
      <c r="B110" t="s">
        <v>326</v>
      </c>
      <c r="C110" t="s">
        <v>293</v>
      </c>
      <c r="D110">
        <v>24800</v>
      </c>
      <c r="E110" t="s">
        <v>8</v>
      </c>
      <c r="F110" t="s">
        <v>9</v>
      </c>
    </row>
    <row r="111" spans="1:6" x14ac:dyDescent="0.25">
      <c r="A111">
        <v>110</v>
      </c>
      <c r="B111" t="s">
        <v>313</v>
      </c>
      <c r="C111" t="s">
        <v>294</v>
      </c>
      <c r="D111">
        <v>60600</v>
      </c>
      <c r="E111" t="s">
        <v>8</v>
      </c>
      <c r="F111" t="s">
        <v>9</v>
      </c>
    </row>
    <row r="112" spans="1:6" x14ac:dyDescent="0.25">
      <c r="A112">
        <v>111</v>
      </c>
      <c r="B112" t="s">
        <v>192</v>
      </c>
      <c r="C112" t="s">
        <v>295</v>
      </c>
      <c r="D112">
        <v>45900</v>
      </c>
      <c r="E112" t="s">
        <v>8</v>
      </c>
      <c r="F112" t="s">
        <v>9</v>
      </c>
    </row>
    <row r="113" spans="1:6" x14ac:dyDescent="0.25">
      <c r="A113">
        <v>112</v>
      </c>
      <c r="B113" t="s">
        <v>92</v>
      </c>
      <c r="C113" t="s">
        <v>296</v>
      </c>
      <c r="D113">
        <v>31100</v>
      </c>
      <c r="E113" t="s">
        <v>8</v>
      </c>
      <c r="F113" t="s">
        <v>9</v>
      </c>
    </row>
    <row r="114" spans="1:6" x14ac:dyDescent="0.25">
      <c r="A114">
        <v>113</v>
      </c>
      <c r="B114" t="s">
        <v>326</v>
      </c>
      <c r="C114" t="s">
        <v>297</v>
      </c>
      <c r="D114">
        <v>90500</v>
      </c>
      <c r="E114" t="s">
        <v>8</v>
      </c>
      <c r="F114" t="s">
        <v>9</v>
      </c>
    </row>
    <row r="115" spans="1:6" x14ac:dyDescent="0.25">
      <c r="A115">
        <v>114</v>
      </c>
      <c r="B115" t="s">
        <v>203</v>
      </c>
      <c r="C115" t="s">
        <v>298</v>
      </c>
      <c r="D115">
        <v>7200</v>
      </c>
      <c r="E115" t="s">
        <v>8</v>
      </c>
      <c r="F115" t="s">
        <v>9</v>
      </c>
    </row>
    <row r="116" spans="1:6" x14ac:dyDescent="0.25">
      <c r="A116">
        <v>115</v>
      </c>
      <c r="B116" t="s">
        <v>47</v>
      </c>
      <c r="C116" t="s">
        <v>299</v>
      </c>
      <c r="D116">
        <v>58300</v>
      </c>
      <c r="E116" t="s">
        <v>8</v>
      </c>
      <c r="F116" t="s">
        <v>9</v>
      </c>
    </row>
    <row r="117" spans="1:6" x14ac:dyDescent="0.25">
      <c r="A117">
        <v>116</v>
      </c>
      <c r="B117" t="s">
        <v>62</v>
      </c>
      <c r="C117" t="s">
        <v>300</v>
      </c>
      <c r="D117">
        <v>26400</v>
      </c>
      <c r="E117" t="s">
        <v>8</v>
      </c>
      <c r="F117" t="s">
        <v>9</v>
      </c>
    </row>
    <row r="118" spans="1:6" x14ac:dyDescent="0.25">
      <c r="A118">
        <v>117</v>
      </c>
      <c r="B118" t="s">
        <v>182</v>
      </c>
      <c r="C118" t="s">
        <v>301</v>
      </c>
      <c r="D118">
        <v>30900</v>
      </c>
      <c r="E118" t="s">
        <v>8</v>
      </c>
      <c r="F118" t="s">
        <v>9</v>
      </c>
    </row>
    <row r="119" spans="1:6" x14ac:dyDescent="0.25">
      <c r="A119">
        <v>118</v>
      </c>
      <c r="B119" t="s">
        <v>74</v>
      </c>
      <c r="C119" t="s">
        <v>303</v>
      </c>
      <c r="D119">
        <v>25700</v>
      </c>
      <c r="E119" t="s">
        <v>38</v>
      </c>
      <c r="F119" t="s">
        <v>9</v>
      </c>
    </row>
    <row r="120" spans="1:6" x14ac:dyDescent="0.25">
      <c r="A120">
        <v>119</v>
      </c>
      <c r="B120" t="s">
        <v>302</v>
      </c>
      <c r="C120" t="s">
        <v>304</v>
      </c>
      <c r="D120">
        <v>39400</v>
      </c>
      <c r="E120" t="s">
        <v>8</v>
      </c>
      <c r="F120" t="s">
        <v>9</v>
      </c>
    </row>
    <row r="121" spans="1:6" x14ac:dyDescent="0.25">
      <c r="A121">
        <v>120</v>
      </c>
      <c r="B121" t="s">
        <v>216</v>
      </c>
      <c r="C121" t="s">
        <v>305</v>
      </c>
      <c r="D121">
        <v>19500</v>
      </c>
      <c r="E121" t="s">
        <v>8</v>
      </c>
      <c r="F121" t="s">
        <v>9</v>
      </c>
    </row>
    <row r="122" spans="1:6" x14ac:dyDescent="0.25">
      <c r="A122">
        <v>121</v>
      </c>
      <c r="B122" t="s">
        <v>146</v>
      </c>
      <c r="C122" t="s">
        <v>293</v>
      </c>
      <c r="D122">
        <v>33700</v>
      </c>
      <c r="E122" t="s">
        <v>8</v>
      </c>
      <c r="F122" t="s">
        <v>9</v>
      </c>
    </row>
    <row r="123" spans="1:6" x14ac:dyDescent="0.25">
      <c r="A123">
        <v>122</v>
      </c>
      <c r="B123" t="s">
        <v>45</v>
      </c>
      <c r="C123" t="s">
        <v>295</v>
      </c>
      <c r="D123">
        <v>500000</v>
      </c>
      <c r="E123" t="s">
        <v>38</v>
      </c>
      <c r="F123" t="s">
        <v>20</v>
      </c>
    </row>
    <row r="124" spans="1:6" x14ac:dyDescent="0.25">
      <c r="A124">
        <v>123</v>
      </c>
      <c r="B124" t="s">
        <v>142</v>
      </c>
      <c r="C124" t="s">
        <v>295</v>
      </c>
      <c r="D124">
        <v>39700</v>
      </c>
      <c r="E124" t="s">
        <v>23</v>
      </c>
      <c r="F124" t="s">
        <v>9</v>
      </c>
    </row>
    <row r="125" spans="1:6" x14ac:dyDescent="0.25">
      <c r="A125">
        <v>124</v>
      </c>
      <c r="B125" t="s">
        <v>43</v>
      </c>
      <c r="C125" t="s">
        <v>296</v>
      </c>
      <c r="D125">
        <v>54400</v>
      </c>
      <c r="E125" t="s">
        <v>8</v>
      </c>
      <c r="F125" t="s">
        <v>9</v>
      </c>
    </row>
    <row r="126" spans="1:6" x14ac:dyDescent="0.25">
      <c r="A126">
        <v>125</v>
      </c>
      <c r="B126" t="s">
        <v>138</v>
      </c>
      <c r="C126" t="s">
        <v>297</v>
      </c>
      <c r="D126">
        <v>34600</v>
      </c>
      <c r="E126" t="s">
        <v>8</v>
      </c>
      <c r="F126" t="s">
        <v>9</v>
      </c>
    </row>
    <row r="127" spans="1:6" x14ac:dyDescent="0.25">
      <c r="A127">
        <v>126</v>
      </c>
      <c r="B127" t="s">
        <v>232</v>
      </c>
      <c r="C127" t="s">
        <v>298</v>
      </c>
      <c r="D127">
        <v>36500</v>
      </c>
      <c r="E127" t="s">
        <v>8</v>
      </c>
      <c r="F127" t="s">
        <v>9</v>
      </c>
    </row>
    <row r="128" spans="1:6" x14ac:dyDescent="0.25">
      <c r="A128">
        <v>127</v>
      </c>
      <c r="B128" t="s">
        <v>234</v>
      </c>
      <c r="C128" t="s">
        <v>299</v>
      </c>
      <c r="D128">
        <v>25400</v>
      </c>
      <c r="E128" t="s">
        <v>8</v>
      </c>
      <c r="F128" t="s">
        <v>9</v>
      </c>
    </row>
    <row r="129" spans="1:6" x14ac:dyDescent="0.25">
      <c r="A129">
        <v>128</v>
      </c>
      <c r="B129" t="s">
        <v>106</v>
      </c>
      <c r="C129" t="s">
        <v>300</v>
      </c>
      <c r="D129">
        <v>18200</v>
      </c>
      <c r="E129" t="s">
        <v>8</v>
      </c>
      <c r="F129" t="s">
        <v>9</v>
      </c>
    </row>
    <row r="130" spans="1:6" x14ac:dyDescent="0.25">
      <c r="A130">
        <v>129</v>
      </c>
      <c r="B130" t="s">
        <v>330</v>
      </c>
      <c r="C130" t="s">
        <v>301</v>
      </c>
      <c r="D130">
        <v>27100</v>
      </c>
      <c r="E130" t="s">
        <v>38</v>
      </c>
      <c r="F130" t="s">
        <v>20</v>
      </c>
    </row>
    <row r="131" spans="1:6" x14ac:dyDescent="0.25">
      <c r="A131">
        <v>130</v>
      </c>
      <c r="B131" t="s">
        <v>331</v>
      </c>
      <c r="C131" t="s">
        <v>303</v>
      </c>
      <c r="D131">
        <v>40500</v>
      </c>
      <c r="E131" t="s">
        <v>23</v>
      </c>
      <c r="F131" t="s">
        <v>9</v>
      </c>
    </row>
    <row r="132" spans="1:6" x14ac:dyDescent="0.25">
      <c r="A132">
        <v>131</v>
      </c>
      <c r="B132" t="s">
        <v>184</v>
      </c>
      <c r="C132" t="s">
        <v>304</v>
      </c>
      <c r="D132">
        <v>38600</v>
      </c>
      <c r="E132" t="s">
        <v>8</v>
      </c>
      <c r="F132" t="s">
        <v>9</v>
      </c>
    </row>
    <row r="133" spans="1:6" x14ac:dyDescent="0.25">
      <c r="A133">
        <v>132</v>
      </c>
      <c r="B133" t="s">
        <v>68</v>
      </c>
      <c r="C133" t="s">
        <v>305</v>
      </c>
      <c r="D133">
        <v>40300</v>
      </c>
      <c r="E133" t="s">
        <v>8</v>
      </c>
      <c r="F133" t="s">
        <v>9</v>
      </c>
    </row>
    <row r="134" spans="1:6" x14ac:dyDescent="0.25">
      <c r="A134">
        <v>133</v>
      </c>
      <c r="B134" t="s">
        <v>332</v>
      </c>
      <c r="C134" t="s">
        <v>293</v>
      </c>
      <c r="D134">
        <v>32700</v>
      </c>
      <c r="E134" t="s">
        <v>8</v>
      </c>
      <c r="F134" t="s">
        <v>9</v>
      </c>
    </row>
    <row r="135" spans="1:6" x14ac:dyDescent="0.25">
      <c r="A135">
        <v>134</v>
      </c>
      <c r="B135" t="s">
        <v>184</v>
      </c>
      <c r="C135" t="s">
        <v>294</v>
      </c>
      <c r="D135">
        <v>30500</v>
      </c>
      <c r="E135" t="s">
        <v>8</v>
      </c>
      <c r="F135" t="s">
        <v>9</v>
      </c>
    </row>
    <row r="136" spans="1:6" x14ac:dyDescent="0.25">
      <c r="A136">
        <v>135</v>
      </c>
      <c r="B136" t="s">
        <v>208</v>
      </c>
      <c r="C136" t="s">
        <v>295</v>
      </c>
      <c r="D136">
        <v>24600</v>
      </c>
      <c r="E136" t="s">
        <v>8</v>
      </c>
      <c r="F136" t="s">
        <v>9</v>
      </c>
    </row>
    <row r="137" spans="1:6" x14ac:dyDescent="0.25">
      <c r="A137">
        <v>136</v>
      </c>
      <c r="B137" t="s">
        <v>143</v>
      </c>
      <c r="C137" t="s">
        <v>296</v>
      </c>
      <c r="D137">
        <v>40200</v>
      </c>
      <c r="E137" t="s">
        <v>8</v>
      </c>
      <c r="F137" t="s">
        <v>9</v>
      </c>
    </row>
    <row r="138" spans="1:6" x14ac:dyDescent="0.25">
      <c r="A138">
        <v>137</v>
      </c>
      <c r="B138" t="s">
        <v>165</v>
      </c>
      <c r="C138" t="s">
        <v>297</v>
      </c>
      <c r="D138">
        <v>22000</v>
      </c>
      <c r="E138" t="s">
        <v>8</v>
      </c>
      <c r="F138" t="s">
        <v>9</v>
      </c>
    </row>
    <row r="139" spans="1:6" x14ac:dyDescent="0.25">
      <c r="A139">
        <v>138</v>
      </c>
      <c r="B139" t="s">
        <v>191</v>
      </c>
      <c r="C139" t="s">
        <v>298</v>
      </c>
      <c r="D139">
        <v>28900</v>
      </c>
      <c r="E139" t="s">
        <v>8</v>
      </c>
      <c r="F139" t="s">
        <v>9</v>
      </c>
    </row>
    <row r="140" spans="1:6" x14ac:dyDescent="0.25">
      <c r="A140">
        <v>139</v>
      </c>
      <c r="B140" t="s">
        <v>173</v>
      </c>
      <c r="C140" t="s">
        <v>299</v>
      </c>
      <c r="D140">
        <v>21600</v>
      </c>
      <c r="E140" t="s">
        <v>38</v>
      </c>
      <c r="F140" t="s">
        <v>20</v>
      </c>
    </row>
    <row r="141" spans="1:6" x14ac:dyDescent="0.25">
      <c r="A141">
        <v>140</v>
      </c>
      <c r="B141" t="s">
        <v>36</v>
      </c>
      <c r="C141" t="s">
        <v>300</v>
      </c>
      <c r="D141">
        <v>77600</v>
      </c>
      <c r="E141" t="s">
        <v>8</v>
      </c>
      <c r="F141" t="s">
        <v>9</v>
      </c>
    </row>
    <row r="142" spans="1:6" x14ac:dyDescent="0.25">
      <c r="A142">
        <v>141</v>
      </c>
      <c r="B142" t="s">
        <v>333</v>
      </c>
      <c r="C142" t="s">
        <v>301</v>
      </c>
      <c r="D142">
        <v>38900</v>
      </c>
      <c r="E142" t="s">
        <v>8</v>
      </c>
      <c r="F142" t="s">
        <v>9</v>
      </c>
    </row>
    <row r="143" spans="1:6" x14ac:dyDescent="0.25">
      <c r="A143">
        <v>142</v>
      </c>
      <c r="B143" t="s">
        <v>116</v>
      </c>
      <c r="C143" t="s">
        <v>303</v>
      </c>
      <c r="D143">
        <v>41900</v>
      </c>
      <c r="E143" t="s">
        <v>8</v>
      </c>
      <c r="F143" t="s">
        <v>9</v>
      </c>
    </row>
    <row r="144" spans="1:6" x14ac:dyDescent="0.25">
      <c r="A144">
        <v>143</v>
      </c>
      <c r="B144" t="s">
        <v>215</v>
      </c>
      <c r="C144" t="s">
        <v>304</v>
      </c>
      <c r="D144">
        <v>61800</v>
      </c>
      <c r="E144" t="s">
        <v>8</v>
      </c>
      <c r="F144" t="s">
        <v>9</v>
      </c>
    </row>
    <row r="145" spans="1:6" x14ac:dyDescent="0.25">
      <c r="A145">
        <v>144</v>
      </c>
      <c r="B145" t="s">
        <v>26</v>
      </c>
      <c r="C145" t="s">
        <v>305</v>
      </c>
      <c r="D145">
        <v>29400</v>
      </c>
      <c r="E145" t="s">
        <v>8</v>
      </c>
      <c r="F145" t="s">
        <v>9</v>
      </c>
    </row>
    <row r="146" spans="1:6" x14ac:dyDescent="0.25">
      <c r="A146">
        <v>145</v>
      </c>
      <c r="B146" t="s">
        <v>334</v>
      </c>
      <c r="C146" t="s">
        <v>293</v>
      </c>
      <c r="D146">
        <v>84600</v>
      </c>
      <c r="E146" t="s">
        <v>23</v>
      </c>
      <c r="F146" t="s">
        <v>9</v>
      </c>
    </row>
    <row r="147" spans="1:6" x14ac:dyDescent="0.25">
      <c r="A147">
        <v>146</v>
      </c>
      <c r="B147" t="s">
        <v>201</v>
      </c>
      <c r="C147" t="s">
        <v>294</v>
      </c>
      <c r="D147">
        <v>31500</v>
      </c>
      <c r="E147" t="s">
        <v>8</v>
      </c>
      <c r="F147" t="s">
        <v>9</v>
      </c>
    </row>
    <row r="148" spans="1:6" x14ac:dyDescent="0.25">
      <c r="A148">
        <v>147</v>
      </c>
      <c r="B148" t="s">
        <v>251</v>
      </c>
      <c r="C148" t="s">
        <v>295</v>
      </c>
      <c r="D148">
        <v>91300</v>
      </c>
      <c r="E148" t="s">
        <v>8</v>
      </c>
      <c r="F148" t="s">
        <v>9</v>
      </c>
    </row>
    <row r="149" spans="1:6" x14ac:dyDescent="0.25">
      <c r="A149">
        <v>148</v>
      </c>
      <c r="B149" t="s">
        <v>319</v>
      </c>
      <c r="C149" t="s">
        <v>296</v>
      </c>
      <c r="D149">
        <v>17000</v>
      </c>
      <c r="E149" t="s">
        <v>8</v>
      </c>
      <c r="F149" t="s">
        <v>9</v>
      </c>
    </row>
    <row r="150" spans="1:6" x14ac:dyDescent="0.25">
      <c r="A150">
        <v>149</v>
      </c>
      <c r="B150" t="s">
        <v>155</v>
      </c>
      <c r="C150" t="s">
        <v>297</v>
      </c>
      <c r="D150">
        <v>61100</v>
      </c>
      <c r="E150" t="s">
        <v>8</v>
      </c>
      <c r="F150" t="s">
        <v>9</v>
      </c>
    </row>
    <row r="151" spans="1:6" x14ac:dyDescent="0.25">
      <c r="A151">
        <v>150</v>
      </c>
      <c r="B151" t="s">
        <v>198</v>
      </c>
      <c r="C151" t="s">
        <v>298</v>
      </c>
      <c r="D151">
        <v>23600</v>
      </c>
      <c r="E151" t="s">
        <v>8</v>
      </c>
      <c r="F151" t="s">
        <v>9</v>
      </c>
    </row>
    <row r="152" spans="1:6" x14ac:dyDescent="0.25">
      <c r="A152">
        <v>151</v>
      </c>
      <c r="B152" t="s">
        <v>207</v>
      </c>
      <c r="C152" t="s">
        <v>299</v>
      </c>
      <c r="D152">
        <v>61100</v>
      </c>
      <c r="E152" t="s">
        <v>38</v>
      </c>
      <c r="F152" t="s">
        <v>9</v>
      </c>
    </row>
    <row r="153" spans="1:6" x14ac:dyDescent="0.25">
      <c r="A153">
        <v>152</v>
      </c>
      <c r="B153" t="s">
        <v>181</v>
      </c>
      <c r="C153" t="s">
        <v>300</v>
      </c>
      <c r="D153">
        <v>28600</v>
      </c>
      <c r="E153" t="s">
        <v>8</v>
      </c>
      <c r="F153" t="s">
        <v>9</v>
      </c>
    </row>
    <row r="154" spans="1:6" x14ac:dyDescent="0.25">
      <c r="A154">
        <v>153</v>
      </c>
      <c r="B154" t="s">
        <v>39</v>
      </c>
      <c r="C154" t="s">
        <v>301</v>
      </c>
      <c r="D154">
        <v>56600</v>
      </c>
      <c r="E154" t="s">
        <v>8</v>
      </c>
      <c r="F154" t="s">
        <v>9</v>
      </c>
    </row>
    <row r="155" spans="1:6" x14ac:dyDescent="0.25">
      <c r="A155">
        <v>154</v>
      </c>
      <c r="B155" t="s">
        <v>271</v>
      </c>
      <c r="C155" t="s">
        <v>303</v>
      </c>
      <c r="D155">
        <v>22400</v>
      </c>
      <c r="E155" t="s">
        <v>8</v>
      </c>
      <c r="F155" t="s">
        <v>9</v>
      </c>
    </row>
    <row r="156" spans="1:6" x14ac:dyDescent="0.25">
      <c r="A156">
        <v>155</v>
      </c>
      <c r="B156" t="s">
        <v>51</v>
      </c>
      <c r="C156" t="s">
        <v>304</v>
      </c>
      <c r="D156">
        <v>18000</v>
      </c>
      <c r="E156" t="s">
        <v>8</v>
      </c>
      <c r="F156" t="s">
        <v>9</v>
      </c>
    </row>
    <row r="157" spans="1:6" x14ac:dyDescent="0.25">
      <c r="A157">
        <v>156</v>
      </c>
      <c r="B157" t="s">
        <v>335</v>
      </c>
      <c r="C157" t="s">
        <v>305</v>
      </c>
      <c r="D157">
        <v>85200</v>
      </c>
      <c r="E157" t="s">
        <v>8</v>
      </c>
      <c r="F157" t="s">
        <v>9</v>
      </c>
    </row>
    <row r="158" spans="1:6" x14ac:dyDescent="0.25">
      <c r="A158">
        <v>157</v>
      </c>
      <c r="B158" t="s">
        <v>54</v>
      </c>
      <c r="C158" t="s">
        <v>293</v>
      </c>
      <c r="D158">
        <v>120500</v>
      </c>
      <c r="E158" t="s">
        <v>38</v>
      </c>
      <c r="F158" t="s">
        <v>20</v>
      </c>
    </row>
    <row r="159" spans="1:6" x14ac:dyDescent="0.25">
      <c r="A159">
        <v>158</v>
      </c>
      <c r="B159" t="s">
        <v>98</v>
      </c>
      <c r="C159" t="s">
        <v>294</v>
      </c>
      <c r="D159">
        <v>42400</v>
      </c>
      <c r="E159" t="s">
        <v>8</v>
      </c>
      <c r="F159" t="s">
        <v>9</v>
      </c>
    </row>
    <row r="160" spans="1:6" x14ac:dyDescent="0.25">
      <c r="A160">
        <v>159</v>
      </c>
      <c r="B160" t="s">
        <v>336</v>
      </c>
      <c r="C160" t="s">
        <v>295</v>
      </c>
      <c r="D160">
        <v>26700</v>
      </c>
      <c r="E160" t="s">
        <v>38</v>
      </c>
      <c r="F160" t="s">
        <v>20</v>
      </c>
    </row>
    <row r="161" spans="1:6" x14ac:dyDescent="0.25">
      <c r="A161">
        <v>160</v>
      </c>
      <c r="B161" t="s">
        <v>34</v>
      </c>
      <c r="C161" t="s">
        <v>296</v>
      </c>
      <c r="D161">
        <v>17300</v>
      </c>
      <c r="E161" t="s">
        <v>8</v>
      </c>
      <c r="F161" t="s">
        <v>9</v>
      </c>
    </row>
    <row r="162" spans="1:6" x14ac:dyDescent="0.25">
      <c r="A162">
        <v>161</v>
      </c>
      <c r="B162" t="s">
        <v>151</v>
      </c>
      <c r="C162" t="s">
        <v>297</v>
      </c>
      <c r="D162">
        <v>21800</v>
      </c>
      <c r="E162" t="s">
        <v>8</v>
      </c>
      <c r="F162" t="s">
        <v>9</v>
      </c>
    </row>
    <row r="163" spans="1:6" x14ac:dyDescent="0.25">
      <c r="A163">
        <v>162</v>
      </c>
      <c r="B163" t="s">
        <v>337</v>
      </c>
      <c r="C163" t="s">
        <v>298</v>
      </c>
      <c r="D163">
        <v>33300</v>
      </c>
      <c r="E163" t="s">
        <v>8</v>
      </c>
      <c r="F163" t="s">
        <v>9</v>
      </c>
    </row>
    <row r="164" spans="1:6" x14ac:dyDescent="0.25">
      <c r="A164">
        <v>163</v>
      </c>
      <c r="B164" t="s">
        <v>215</v>
      </c>
      <c r="C164" t="s">
        <v>299</v>
      </c>
      <c r="D164">
        <v>48300</v>
      </c>
      <c r="E164" t="s">
        <v>8</v>
      </c>
      <c r="F164" t="s">
        <v>9</v>
      </c>
    </row>
    <row r="165" spans="1:6" x14ac:dyDescent="0.25">
      <c r="A165">
        <v>164</v>
      </c>
      <c r="B165" t="s">
        <v>194</v>
      </c>
      <c r="C165" t="s">
        <v>300</v>
      </c>
      <c r="D165">
        <v>15300</v>
      </c>
      <c r="E165" t="s">
        <v>8</v>
      </c>
      <c r="F165" t="s">
        <v>9</v>
      </c>
    </row>
    <row r="166" spans="1:6" x14ac:dyDescent="0.25">
      <c r="A166">
        <v>165</v>
      </c>
      <c r="B166" t="s">
        <v>204</v>
      </c>
      <c r="C166" t="s">
        <v>301</v>
      </c>
      <c r="D166">
        <v>15600</v>
      </c>
      <c r="E166" t="s">
        <v>38</v>
      </c>
      <c r="F166" t="s">
        <v>9</v>
      </c>
    </row>
    <row r="167" spans="1:6" x14ac:dyDescent="0.25">
      <c r="A167">
        <v>166</v>
      </c>
      <c r="B167" t="s">
        <v>228</v>
      </c>
      <c r="C167" t="s">
        <v>303</v>
      </c>
      <c r="D167">
        <v>92400</v>
      </c>
      <c r="E167" t="s">
        <v>8</v>
      </c>
      <c r="F167" t="s">
        <v>9</v>
      </c>
    </row>
    <row r="168" spans="1:6" x14ac:dyDescent="0.25">
      <c r="A168">
        <v>167</v>
      </c>
      <c r="B168" t="s">
        <v>275</v>
      </c>
      <c r="C168" t="s">
        <v>304</v>
      </c>
      <c r="D168">
        <v>38500</v>
      </c>
      <c r="E168" t="s">
        <v>23</v>
      </c>
      <c r="F168" t="s">
        <v>9</v>
      </c>
    </row>
    <row r="169" spans="1:6" x14ac:dyDescent="0.25">
      <c r="A169">
        <v>168</v>
      </c>
      <c r="B169" t="s">
        <v>71</v>
      </c>
      <c r="C169" t="s">
        <v>305</v>
      </c>
      <c r="D169">
        <v>55400</v>
      </c>
      <c r="E169" t="s">
        <v>8</v>
      </c>
      <c r="F169" t="s">
        <v>9</v>
      </c>
    </row>
    <row r="170" spans="1:6" x14ac:dyDescent="0.25">
      <c r="A170">
        <v>169</v>
      </c>
      <c r="B170" t="s">
        <v>266</v>
      </c>
      <c r="C170" t="s">
        <v>293</v>
      </c>
      <c r="D170">
        <v>26100</v>
      </c>
      <c r="E170" t="s">
        <v>8</v>
      </c>
      <c r="F170" t="s">
        <v>9</v>
      </c>
    </row>
    <row r="171" spans="1:6" x14ac:dyDescent="0.25">
      <c r="A171">
        <v>170</v>
      </c>
      <c r="B171" t="s">
        <v>179</v>
      </c>
      <c r="C171" t="s">
        <v>294</v>
      </c>
      <c r="D171">
        <v>54100</v>
      </c>
      <c r="E171" t="s">
        <v>8</v>
      </c>
      <c r="F171" t="s">
        <v>9</v>
      </c>
    </row>
    <row r="172" spans="1:6" x14ac:dyDescent="0.25">
      <c r="A172">
        <v>171</v>
      </c>
      <c r="B172" t="s">
        <v>338</v>
      </c>
      <c r="C172" t="s">
        <v>295</v>
      </c>
      <c r="D172">
        <v>20900</v>
      </c>
      <c r="E172" t="s">
        <v>23</v>
      </c>
      <c r="F172" t="s">
        <v>20</v>
      </c>
    </row>
    <row r="173" spans="1:6" x14ac:dyDescent="0.25">
      <c r="A173">
        <v>172</v>
      </c>
      <c r="B173" t="s">
        <v>211</v>
      </c>
      <c r="C173" t="s">
        <v>296</v>
      </c>
      <c r="D173">
        <v>16600</v>
      </c>
      <c r="E173" t="s">
        <v>38</v>
      </c>
      <c r="F173" t="s">
        <v>20</v>
      </c>
    </row>
    <row r="174" spans="1:6" x14ac:dyDescent="0.25">
      <c r="A174">
        <v>173</v>
      </c>
      <c r="B174" t="s">
        <v>24</v>
      </c>
      <c r="C174" t="s">
        <v>297</v>
      </c>
      <c r="D174">
        <v>28200</v>
      </c>
      <c r="E174" t="s">
        <v>8</v>
      </c>
      <c r="F174" t="s">
        <v>9</v>
      </c>
    </row>
    <row r="175" spans="1:6" x14ac:dyDescent="0.25">
      <c r="A175">
        <v>174</v>
      </c>
      <c r="B175" t="s">
        <v>222</v>
      </c>
      <c r="C175" t="s">
        <v>298</v>
      </c>
      <c r="D175">
        <v>38900</v>
      </c>
      <c r="E175" t="s">
        <v>23</v>
      </c>
      <c r="F175" t="s">
        <v>9</v>
      </c>
    </row>
    <row r="176" spans="1:6" x14ac:dyDescent="0.25">
      <c r="A176">
        <v>175</v>
      </c>
      <c r="B176" t="s">
        <v>135</v>
      </c>
      <c r="C176" t="s">
        <v>299</v>
      </c>
      <c r="D176">
        <v>40600</v>
      </c>
      <c r="E176" t="s">
        <v>8</v>
      </c>
      <c r="F176" t="s">
        <v>9</v>
      </c>
    </row>
    <row r="177" spans="1:6" x14ac:dyDescent="0.25">
      <c r="A177">
        <v>176</v>
      </c>
      <c r="B177" t="s">
        <v>191</v>
      </c>
      <c r="C177" t="s">
        <v>300</v>
      </c>
      <c r="D177">
        <v>35400</v>
      </c>
      <c r="E177" t="s">
        <v>8</v>
      </c>
      <c r="F177" t="s">
        <v>9</v>
      </c>
    </row>
    <row r="178" spans="1:6" x14ac:dyDescent="0.25">
      <c r="A178">
        <v>177</v>
      </c>
      <c r="B178" t="s">
        <v>339</v>
      </c>
      <c r="C178" t="s">
        <v>301</v>
      </c>
      <c r="D178">
        <v>47900</v>
      </c>
      <c r="E178" t="s">
        <v>8</v>
      </c>
      <c r="F178" t="s">
        <v>9</v>
      </c>
    </row>
    <row r="179" spans="1:6" x14ac:dyDescent="0.25">
      <c r="A179">
        <v>178</v>
      </c>
      <c r="B179" t="s">
        <v>223</v>
      </c>
      <c r="C179" t="s">
        <v>303</v>
      </c>
      <c r="D179">
        <v>46600</v>
      </c>
      <c r="E179" t="s">
        <v>8</v>
      </c>
      <c r="F179" t="s">
        <v>9</v>
      </c>
    </row>
    <row r="180" spans="1:6" x14ac:dyDescent="0.25">
      <c r="A180">
        <v>179</v>
      </c>
      <c r="B180" t="s">
        <v>263</v>
      </c>
      <c r="C180" t="s">
        <v>304</v>
      </c>
      <c r="D180">
        <v>36300</v>
      </c>
      <c r="E180" t="s">
        <v>8</v>
      </c>
      <c r="F180" t="s">
        <v>9</v>
      </c>
    </row>
    <row r="181" spans="1:6" x14ac:dyDescent="0.25">
      <c r="A181">
        <v>180</v>
      </c>
      <c r="B181" t="s">
        <v>212</v>
      </c>
      <c r="C181" t="s">
        <v>305</v>
      </c>
      <c r="D181">
        <v>28000</v>
      </c>
      <c r="E181" t="s">
        <v>8</v>
      </c>
      <c r="F181" t="s">
        <v>9</v>
      </c>
    </row>
    <row r="182" spans="1:6" x14ac:dyDescent="0.25">
      <c r="A182">
        <v>181</v>
      </c>
      <c r="B182" t="s">
        <v>193</v>
      </c>
      <c r="C182" t="s">
        <v>293</v>
      </c>
      <c r="D182">
        <v>16500</v>
      </c>
      <c r="E182" t="s">
        <v>8</v>
      </c>
      <c r="F182" t="s">
        <v>9</v>
      </c>
    </row>
    <row r="183" spans="1:6" x14ac:dyDescent="0.25">
      <c r="A183">
        <v>182</v>
      </c>
      <c r="B183" t="s">
        <v>340</v>
      </c>
      <c r="C183" t="s">
        <v>294</v>
      </c>
      <c r="D183">
        <v>77300</v>
      </c>
      <c r="E183" t="s">
        <v>38</v>
      </c>
      <c r="F183" t="s">
        <v>20</v>
      </c>
    </row>
    <row r="184" spans="1:6" x14ac:dyDescent="0.25">
      <c r="A184">
        <v>183</v>
      </c>
      <c r="B184" t="s">
        <v>341</v>
      </c>
      <c r="C184" t="s">
        <v>295</v>
      </c>
      <c r="D184">
        <v>26400</v>
      </c>
      <c r="E184" t="s">
        <v>8</v>
      </c>
      <c r="F184" t="s">
        <v>9</v>
      </c>
    </row>
    <row r="185" spans="1:6" x14ac:dyDescent="0.25">
      <c r="A185">
        <v>184</v>
      </c>
      <c r="B185" t="s">
        <v>280</v>
      </c>
      <c r="C185" t="s">
        <v>296</v>
      </c>
      <c r="D185">
        <v>46200</v>
      </c>
      <c r="E185" t="s">
        <v>8</v>
      </c>
      <c r="F185" t="s">
        <v>9</v>
      </c>
    </row>
    <row r="186" spans="1:6" x14ac:dyDescent="0.25">
      <c r="A186">
        <v>185</v>
      </c>
      <c r="B186" t="s">
        <v>162</v>
      </c>
      <c r="C186" t="s">
        <v>297</v>
      </c>
      <c r="D186">
        <v>42700</v>
      </c>
      <c r="E186" t="s">
        <v>8</v>
      </c>
      <c r="F186" t="s">
        <v>9</v>
      </c>
    </row>
    <row r="187" spans="1:6" x14ac:dyDescent="0.25">
      <c r="A187">
        <v>186</v>
      </c>
      <c r="B187" t="s">
        <v>152</v>
      </c>
      <c r="C187" t="s">
        <v>298</v>
      </c>
      <c r="D187">
        <v>24100</v>
      </c>
      <c r="E187" t="s">
        <v>8</v>
      </c>
      <c r="F187" t="s">
        <v>9</v>
      </c>
    </row>
    <row r="188" spans="1:6" x14ac:dyDescent="0.25">
      <c r="A188">
        <v>187</v>
      </c>
      <c r="B188" t="s">
        <v>263</v>
      </c>
      <c r="C188" t="s">
        <v>299</v>
      </c>
      <c r="D188">
        <v>9000</v>
      </c>
      <c r="E188" t="s">
        <v>8</v>
      </c>
      <c r="F188" t="s">
        <v>9</v>
      </c>
    </row>
    <row r="189" spans="1:6" x14ac:dyDescent="0.25">
      <c r="A189">
        <v>188</v>
      </c>
      <c r="B189" t="s">
        <v>197</v>
      </c>
      <c r="C189" t="s">
        <v>300</v>
      </c>
      <c r="D189">
        <v>82100</v>
      </c>
      <c r="E189" t="s">
        <v>8</v>
      </c>
      <c r="F189" t="s">
        <v>9</v>
      </c>
    </row>
    <row r="190" spans="1:6" x14ac:dyDescent="0.25">
      <c r="A190">
        <v>189</v>
      </c>
      <c r="B190" t="s">
        <v>164</v>
      </c>
      <c r="C190" t="s">
        <v>301</v>
      </c>
      <c r="D190">
        <v>71500</v>
      </c>
      <c r="E190" t="s">
        <v>8</v>
      </c>
      <c r="F190" t="s">
        <v>9</v>
      </c>
    </row>
    <row r="191" spans="1:6" x14ac:dyDescent="0.25">
      <c r="A191">
        <v>190</v>
      </c>
      <c r="B191" t="s">
        <v>342</v>
      </c>
      <c r="C191" t="s">
        <v>303</v>
      </c>
      <c r="D191">
        <v>161000</v>
      </c>
      <c r="E191" t="s">
        <v>23</v>
      </c>
      <c r="F191" t="s">
        <v>9</v>
      </c>
    </row>
    <row r="192" spans="1:6" x14ac:dyDescent="0.25">
      <c r="A192">
        <v>191</v>
      </c>
      <c r="B192" t="s">
        <v>343</v>
      </c>
      <c r="C192" t="s">
        <v>304</v>
      </c>
      <c r="D192">
        <v>22600</v>
      </c>
      <c r="E192" t="s">
        <v>8</v>
      </c>
      <c r="F192" t="s">
        <v>9</v>
      </c>
    </row>
    <row r="193" spans="1:6" x14ac:dyDescent="0.25">
      <c r="A193">
        <v>192</v>
      </c>
      <c r="B193" t="s">
        <v>204</v>
      </c>
      <c r="C193" t="s">
        <v>305</v>
      </c>
      <c r="D193">
        <v>58900</v>
      </c>
      <c r="E193" t="s">
        <v>8</v>
      </c>
      <c r="F193" t="s">
        <v>9</v>
      </c>
    </row>
    <row r="194" spans="1:6" x14ac:dyDescent="0.25">
      <c r="A194">
        <v>193</v>
      </c>
      <c r="B194" t="s">
        <v>250</v>
      </c>
      <c r="C194" t="s">
        <v>293</v>
      </c>
      <c r="D194">
        <v>47000</v>
      </c>
      <c r="E194" t="s">
        <v>8</v>
      </c>
      <c r="F194" t="s">
        <v>9</v>
      </c>
    </row>
    <row r="195" spans="1:6" x14ac:dyDescent="0.25">
      <c r="A195">
        <v>194</v>
      </c>
      <c r="B195" t="s">
        <v>191</v>
      </c>
      <c r="C195" t="s">
        <v>294</v>
      </c>
      <c r="D195">
        <v>14500</v>
      </c>
      <c r="E195" t="s">
        <v>23</v>
      </c>
      <c r="F195" t="s">
        <v>9</v>
      </c>
    </row>
    <row r="196" spans="1:6" x14ac:dyDescent="0.25">
      <c r="A196">
        <v>195</v>
      </c>
      <c r="B196" t="s">
        <v>213</v>
      </c>
      <c r="C196" t="s">
        <v>295</v>
      </c>
      <c r="D196">
        <v>33900</v>
      </c>
      <c r="E196" t="s">
        <v>38</v>
      </c>
      <c r="F196" t="s">
        <v>9</v>
      </c>
    </row>
    <row r="197" spans="1:6" x14ac:dyDescent="0.25">
      <c r="A197">
        <v>196</v>
      </c>
      <c r="B197" t="s">
        <v>148</v>
      </c>
      <c r="C197" t="s">
        <v>296</v>
      </c>
      <c r="D197">
        <v>37200</v>
      </c>
      <c r="E197" t="s">
        <v>8</v>
      </c>
      <c r="F197" t="s">
        <v>9</v>
      </c>
    </row>
    <row r="198" spans="1:6" x14ac:dyDescent="0.25">
      <c r="A198">
        <v>197</v>
      </c>
      <c r="B198" t="s">
        <v>143</v>
      </c>
      <c r="C198" t="s">
        <v>297</v>
      </c>
      <c r="D198">
        <v>22000</v>
      </c>
      <c r="E198" t="s">
        <v>23</v>
      </c>
      <c r="F198" t="s">
        <v>9</v>
      </c>
    </row>
    <row r="199" spans="1:6" x14ac:dyDescent="0.25">
      <c r="A199">
        <v>198</v>
      </c>
      <c r="B199" t="s">
        <v>50</v>
      </c>
      <c r="C199" t="s">
        <v>298</v>
      </c>
      <c r="D199">
        <v>77700</v>
      </c>
      <c r="E199" t="s">
        <v>8</v>
      </c>
      <c r="F199" t="s">
        <v>9</v>
      </c>
    </row>
    <row r="200" spans="1:6" x14ac:dyDescent="0.25">
      <c r="A200">
        <v>199</v>
      </c>
      <c r="B200" t="s">
        <v>269</v>
      </c>
      <c r="C200" t="s">
        <v>299</v>
      </c>
      <c r="D200">
        <v>93400</v>
      </c>
      <c r="E200" t="s">
        <v>23</v>
      </c>
      <c r="F200" t="s">
        <v>9</v>
      </c>
    </row>
    <row r="201" spans="1:6" x14ac:dyDescent="0.25">
      <c r="A201">
        <v>200</v>
      </c>
      <c r="B201" t="s">
        <v>279</v>
      </c>
      <c r="C201" t="s">
        <v>300</v>
      </c>
      <c r="D201">
        <v>25300</v>
      </c>
      <c r="E201" t="s">
        <v>8</v>
      </c>
      <c r="F201" t="s">
        <v>9</v>
      </c>
    </row>
    <row r="202" spans="1:6" x14ac:dyDescent="0.25">
      <c r="A202">
        <v>201</v>
      </c>
      <c r="B202" t="s">
        <v>190</v>
      </c>
      <c r="C202" t="s">
        <v>301</v>
      </c>
      <c r="D202">
        <v>46000</v>
      </c>
      <c r="E202" t="s">
        <v>8</v>
      </c>
      <c r="F202" t="s">
        <v>9</v>
      </c>
    </row>
    <row r="203" spans="1:6" x14ac:dyDescent="0.25">
      <c r="A203">
        <v>202</v>
      </c>
      <c r="B203" t="s">
        <v>338</v>
      </c>
      <c r="C203" t="s">
        <v>303</v>
      </c>
      <c r="D203">
        <v>27300</v>
      </c>
      <c r="E203" t="s">
        <v>8</v>
      </c>
      <c r="F203" t="s">
        <v>9</v>
      </c>
    </row>
    <row r="204" spans="1:6" x14ac:dyDescent="0.25">
      <c r="A204">
        <v>203</v>
      </c>
      <c r="B204" t="s">
        <v>88</v>
      </c>
      <c r="C204" t="s">
        <v>304</v>
      </c>
      <c r="D204">
        <v>13900</v>
      </c>
      <c r="E204" t="s">
        <v>8</v>
      </c>
      <c r="F204" t="s">
        <v>9</v>
      </c>
    </row>
    <row r="205" spans="1:6" x14ac:dyDescent="0.25">
      <c r="A205">
        <v>204</v>
      </c>
      <c r="B205" t="s">
        <v>175</v>
      </c>
      <c r="C205" t="s">
        <v>305</v>
      </c>
      <c r="D205">
        <v>32800</v>
      </c>
      <c r="E205" t="s">
        <v>8</v>
      </c>
      <c r="F205" t="s">
        <v>9</v>
      </c>
    </row>
    <row r="206" spans="1:6" x14ac:dyDescent="0.25">
      <c r="A206">
        <v>205</v>
      </c>
      <c r="B206" t="s">
        <v>54</v>
      </c>
      <c r="C206" t="s">
        <v>293</v>
      </c>
      <c r="D206">
        <v>44100</v>
      </c>
      <c r="E206" t="s">
        <v>8</v>
      </c>
      <c r="F206" t="s">
        <v>9</v>
      </c>
    </row>
    <row r="207" spans="1:6" x14ac:dyDescent="0.25">
      <c r="A207">
        <v>206</v>
      </c>
      <c r="B207" t="s">
        <v>262</v>
      </c>
      <c r="C207" t="s">
        <v>294</v>
      </c>
      <c r="D207">
        <v>12300</v>
      </c>
      <c r="E207" t="s">
        <v>8</v>
      </c>
      <c r="F207" t="s">
        <v>9</v>
      </c>
    </row>
    <row r="208" spans="1:6" x14ac:dyDescent="0.25">
      <c r="A208">
        <v>207</v>
      </c>
      <c r="B208" t="s">
        <v>204</v>
      </c>
      <c r="C208" t="s">
        <v>295</v>
      </c>
      <c r="D208">
        <v>22900</v>
      </c>
      <c r="E208" t="s">
        <v>8</v>
      </c>
      <c r="F208" t="s">
        <v>9</v>
      </c>
    </row>
    <row r="209" spans="1:6" x14ac:dyDescent="0.25">
      <c r="A209">
        <v>208</v>
      </c>
      <c r="B209" t="s">
        <v>265</v>
      </c>
      <c r="C209" t="s">
        <v>296</v>
      </c>
      <c r="D209">
        <v>28200</v>
      </c>
      <c r="E209" t="s">
        <v>8</v>
      </c>
      <c r="F209" t="s">
        <v>9</v>
      </c>
    </row>
    <row r="210" spans="1:6" x14ac:dyDescent="0.25">
      <c r="A210">
        <v>209</v>
      </c>
      <c r="B210" t="s">
        <v>344</v>
      </c>
      <c r="C210" t="s">
        <v>297</v>
      </c>
      <c r="D210">
        <v>48600</v>
      </c>
      <c r="E210" t="s">
        <v>8</v>
      </c>
      <c r="F210" t="s">
        <v>9</v>
      </c>
    </row>
    <row r="211" spans="1:6" x14ac:dyDescent="0.25">
      <c r="A211">
        <v>210</v>
      </c>
      <c r="B211" t="s">
        <v>345</v>
      </c>
      <c r="C211" t="s">
        <v>298</v>
      </c>
      <c r="D211">
        <v>36200</v>
      </c>
      <c r="E211" t="s">
        <v>23</v>
      </c>
      <c r="F211" t="s">
        <v>9</v>
      </c>
    </row>
    <row r="212" spans="1:6" x14ac:dyDescent="0.25">
      <c r="A212">
        <v>211</v>
      </c>
      <c r="B212" t="s">
        <v>273</v>
      </c>
      <c r="C212" t="s">
        <v>299</v>
      </c>
      <c r="D212">
        <v>41800</v>
      </c>
      <c r="E212" t="s">
        <v>38</v>
      </c>
      <c r="F212" t="s">
        <v>20</v>
      </c>
    </row>
    <row r="213" spans="1:6" x14ac:dyDescent="0.25">
      <c r="A213">
        <v>212</v>
      </c>
      <c r="B213" t="s">
        <v>159</v>
      </c>
      <c r="C213" t="s">
        <v>300</v>
      </c>
      <c r="D213">
        <v>43600</v>
      </c>
      <c r="E213" t="s">
        <v>8</v>
      </c>
      <c r="F213" t="s">
        <v>9</v>
      </c>
    </row>
    <row r="214" spans="1:6" x14ac:dyDescent="0.25">
      <c r="A214">
        <v>213</v>
      </c>
      <c r="B214" t="s">
        <v>346</v>
      </c>
      <c r="C214" t="s">
        <v>299</v>
      </c>
      <c r="D214">
        <v>0</v>
      </c>
      <c r="E214" t="s">
        <v>8</v>
      </c>
      <c r="F214" t="s">
        <v>9</v>
      </c>
    </row>
    <row r="215" spans="1:6" x14ac:dyDescent="0.25">
      <c r="A215">
        <v>214</v>
      </c>
      <c r="B215" t="s">
        <v>347</v>
      </c>
      <c r="C215" t="s">
        <v>303</v>
      </c>
      <c r="D215">
        <v>93900</v>
      </c>
      <c r="E215" t="s">
        <v>8</v>
      </c>
      <c r="F215" t="s">
        <v>9</v>
      </c>
    </row>
    <row r="216" spans="1:6" x14ac:dyDescent="0.25">
      <c r="A216">
        <v>215</v>
      </c>
      <c r="B216" t="s">
        <v>340</v>
      </c>
      <c r="C216" t="s">
        <v>304</v>
      </c>
      <c r="D216">
        <v>32800</v>
      </c>
      <c r="E216" t="s">
        <v>8</v>
      </c>
      <c r="F216" t="s">
        <v>9</v>
      </c>
    </row>
    <row r="217" spans="1:6" x14ac:dyDescent="0.25">
      <c r="A217">
        <v>216</v>
      </c>
      <c r="B217" t="s">
        <v>203</v>
      </c>
      <c r="C217" t="s">
        <v>305</v>
      </c>
      <c r="D217">
        <v>47400</v>
      </c>
      <c r="E217" t="s">
        <v>8</v>
      </c>
      <c r="F217" t="s">
        <v>9</v>
      </c>
    </row>
    <row r="218" spans="1:6" x14ac:dyDescent="0.25">
      <c r="A218">
        <v>217</v>
      </c>
      <c r="B218" t="s">
        <v>167</v>
      </c>
      <c r="C218" t="s">
        <v>293</v>
      </c>
      <c r="D218">
        <v>20200</v>
      </c>
      <c r="E218" t="s">
        <v>8</v>
      </c>
      <c r="F218" t="s">
        <v>9</v>
      </c>
    </row>
    <row r="219" spans="1:6" x14ac:dyDescent="0.25">
      <c r="A219">
        <v>218</v>
      </c>
      <c r="B219" t="s">
        <v>348</v>
      </c>
      <c r="C219" t="s">
        <v>294</v>
      </c>
      <c r="D219">
        <v>17700</v>
      </c>
      <c r="E219" t="s">
        <v>38</v>
      </c>
      <c r="F219" t="s">
        <v>20</v>
      </c>
    </row>
    <row r="220" spans="1:6" x14ac:dyDescent="0.25">
      <c r="A220">
        <v>219</v>
      </c>
      <c r="B220" t="s">
        <v>349</v>
      </c>
      <c r="C220" t="s">
        <v>295</v>
      </c>
      <c r="D220">
        <v>52000</v>
      </c>
      <c r="E220" t="s">
        <v>8</v>
      </c>
      <c r="F220" t="s">
        <v>9</v>
      </c>
    </row>
    <row r="221" spans="1:6" x14ac:dyDescent="0.25">
      <c r="A221">
        <v>220</v>
      </c>
      <c r="B221" t="s">
        <v>166</v>
      </c>
      <c r="C221" t="s">
        <v>296</v>
      </c>
      <c r="D221">
        <v>20700</v>
      </c>
      <c r="E221" t="s">
        <v>8</v>
      </c>
      <c r="F221" t="s">
        <v>9</v>
      </c>
    </row>
    <row r="222" spans="1:6" x14ac:dyDescent="0.25">
      <c r="A222">
        <v>221</v>
      </c>
      <c r="B222" t="s">
        <v>173</v>
      </c>
      <c r="C222" t="s">
        <v>297</v>
      </c>
      <c r="D222">
        <v>21700</v>
      </c>
      <c r="E222" t="s">
        <v>8</v>
      </c>
      <c r="F222" t="s">
        <v>9</v>
      </c>
    </row>
    <row r="223" spans="1:6" x14ac:dyDescent="0.25">
      <c r="A223">
        <v>222</v>
      </c>
      <c r="B223" t="s">
        <v>159</v>
      </c>
      <c r="C223" t="s">
        <v>298</v>
      </c>
      <c r="D223">
        <v>20900</v>
      </c>
      <c r="E223" t="s">
        <v>8</v>
      </c>
      <c r="F223" t="s">
        <v>9</v>
      </c>
    </row>
    <row r="224" spans="1:6" x14ac:dyDescent="0.25">
      <c r="A224">
        <v>223</v>
      </c>
      <c r="B224" t="s">
        <v>75</v>
      </c>
      <c r="C224" t="s">
        <v>299</v>
      </c>
      <c r="D224">
        <v>30900</v>
      </c>
      <c r="E224" t="s">
        <v>8</v>
      </c>
      <c r="F224" t="s">
        <v>9</v>
      </c>
    </row>
    <row r="225" spans="1:6" x14ac:dyDescent="0.25">
      <c r="A225">
        <v>224</v>
      </c>
      <c r="B225" t="s">
        <v>350</v>
      </c>
      <c r="C225" t="s">
        <v>300</v>
      </c>
      <c r="D225">
        <v>32900</v>
      </c>
      <c r="E225" t="s">
        <v>38</v>
      </c>
      <c r="F225" t="s">
        <v>20</v>
      </c>
    </row>
    <row r="226" spans="1:6" x14ac:dyDescent="0.25">
      <c r="A226">
        <v>225</v>
      </c>
      <c r="B226" t="s">
        <v>214</v>
      </c>
      <c r="C226" t="s">
        <v>301</v>
      </c>
      <c r="D226">
        <v>21500</v>
      </c>
      <c r="E226" t="s">
        <v>8</v>
      </c>
      <c r="F226" t="s">
        <v>9</v>
      </c>
    </row>
    <row r="227" spans="1:6" x14ac:dyDescent="0.25">
      <c r="A227">
        <v>226</v>
      </c>
      <c r="B227" t="s">
        <v>204</v>
      </c>
      <c r="C227" t="s">
        <v>303</v>
      </c>
      <c r="D227">
        <v>92800</v>
      </c>
      <c r="E227" t="s">
        <v>38</v>
      </c>
      <c r="F227" t="s">
        <v>20</v>
      </c>
    </row>
    <row r="228" spans="1:6" x14ac:dyDescent="0.25">
      <c r="A228">
        <v>227</v>
      </c>
      <c r="B228" t="s">
        <v>16</v>
      </c>
      <c r="C228" t="s">
        <v>304</v>
      </c>
      <c r="D228">
        <v>36000</v>
      </c>
      <c r="E228" t="s">
        <v>8</v>
      </c>
      <c r="F228" t="s">
        <v>9</v>
      </c>
    </row>
    <row r="229" spans="1:6" x14ac:dyDescent="0.25">
      <c r="A229">
        <v>228</v>
      </c>
      <c r="B229" t="s">
        <v>150</v>
      </c>
      <c r="C229" t="s">
        <v>305</v>
      </c>
      <c r="D229">
        <v>14900</v>
      </c>
      <c r="E229" t="s">
        <v>8</v>
      </c>
      <c r="F229" t="s">
        <v>9</v>
      </c>
    </row>
    <row r="230" spans="1:6" x14ac:dyDescent="0.25">
      <c r="A230">
        <v>229</v>
      </c>
      <c r="B230" t="s">
        <v>259</v>
      </c>
      <c r="C230" t="s">
        <v>293</v>
      </c>
      <c r="D230">
        <v>43300</v>
      </c>
      <c r="E230" t="s">
        <v>23</v>
      </c>
      <c r="F230" t="s">
        <v>9</v>
      </c>
    </row>
    <row r="231" spans="1:6" x14ac:dyDescent="0.25">
      <c r="A231">
        <v>230</v>
      </c>
      <c r="B231" t="s">
        <v>173</v>
      </c>
      <c r="C231" t="s">
        <v>294</v>
      </c>
      <c r="D231">
        <v>115800</v>
      </c>
      <c r="E231" t="s">
        <v>8</v>
      </c>
      <c r="F231" t="s">
        <v>9</v>
      </c>
    </row>
    <row r="232" spans="1:6" x14ac:dyDescent="0.25">
      <c r="A232">
        <v>231</v>
      </c>
      <c r="B232" t="s">
        <v>114</v>
      </c>
      <c r="C232" t="s">
        <v>295</v>
      </c>
      <c r="D232">
        <v>75800</v>
      </c>
      <c r="E232" t="s">
        <v>8</v>
      </c>
      <c r="F232" t="s">
        <v>9</v>
      </c>
    </row>
    <row r="233" spans="1:6" x14ac:dyDescent="0.25">
      <c r="A233">
        <v>232</v>
      </c>
      <c r="B233" t="s">
        <v>219</v>
      </c>
      <c r="C233" t="s">
        <v>296</v>
      </c>
      <c r="D233">
        <v>82100</v>
      </c>
      <c r="E233" t="s">
        <v>23</v>
      </c>
      <c r="F233" t="s">
        <v>9</v>
      </c>
    </row>
    <row r="234" spans="1:6" x14ac:dyDescent="0.25">
      <c r="A234">
        <v>233</v>
      </c>
      <c r="B234" t="s">
        <v>166</v>
      </c>
      <c r="C234" t="s">
        <v>297</v>
      </c>
      <c r="D234">
        <v>49700</v>
      </c>
      <c r="E234" t="s">
        <v>8</v>
      </c>
      <c r="F234" t="s">
        <v>9</v>
      </c>
    </row>
    <row r="235" spans="1:6" x14ac:dyDescent="0.25">
      <c r="A235">
        <v>234</v>
      </c>
      <c r="B235" t="s">
        <v>96</v>
      </c>
      <c r="C235" t="s">
        <v>298</v>
      </c>
      <c r="D235">
        <v>22100</v>
      </c>
      <c r="E235" t="s">
        <v>8</v>
      </c>
      <c r="F235" t="s">
        <v>9</v>
      </c>
    </row>
    <row r="236" spans="1:6" x14ac:dyDescent="0.25">
      <c r="A236">
        <v>235</v>
      </c>
      <c r="B236" t="s">
        <v>10</v>
      </c>
      <c r="C236" t="s">
        <v>299</v>
      </c>
      <c r="D236">
        <v>105000</v>
      </c>
      <c r="E236" t="s">
        <v>8</v>
      </c>
      <c r="F236" t="s">
        <v>9</v>
      </c>
    </row>
    <row r="237" spans="1:6" x14ac:dyDescent="0.25">
      <c r="A237">
        <v>236</v>
      </c>
      <c r="B237" t="s">
        <v>288</v>
      </c>
      <c r="C237" t="s">
        <v>300</v>
      </c>
      <c r="D237">
        <v>20400</v>
      </c>
      <c r="E237" t="s">
        <v>38</v>
      </c>
      <c r="F237" t="s">
        <v>20</v>
      </c>
    </row>
    <row r="238" spans="1:6" x14ac:dyDescent="0.25">
      <c r="A238">
        <v>237</v>
      </c>
      <c r="B238" t="s">
        <v>90</v>
      </c>
      <c r="C238" t="s">
        <v>301</v>
      </c>
      <c r="D238">
        <v>75400</v>
      </c>
      <c r="E238" t="s">
        <v>8</v>
      </c>
      <c r="F238" t="s">
        <v>9</v>
      </c>
    </row>
    <row r="239" spans="1:6" x14ac:dyDescent="0.25">
      <c r="A239">
        <v>238</v>
      </c>
      <c r="B239" t="s">
        <v>351</v>
      </c>
      <c r="C239" t="s">
        <v>303</v>
      </c>
      <c r="D239">
        <v>183200</v>
      </c>
      <c r="E239" t="s">
        <v>8</v>
      </c>
      <c r="F239" t="s">
        <v>9</v>
      </c>
    </row>
    <row r="240" spans="1:6" x14ac:dyDescent="0.25">
      <c r="A240">
        <v>239</v>
      </c>
      <c r="B240" t="s">
        <v>239</v>
      </c>
      <c r="C240" t="s">
        <v>304</v>
      </c>
      <c r="D240">
        <v>142400</v>
      </c>
      <c r="E240" t="s">
        <v>8</v>
      </c>
      <c r="F240" t="s">
        <v>9</v>
      </c>
    </row>
    <row r="241" spans="1:6" x14ac:dyDescent="0.25">
      <c r="A241">
        <v>240</v>
      </c>
      <c r="B241" t="s">
        <v>322</v>
      </c>
      <c r="C241" t="s">
        <v>305</v>
      </c>
      <c r="D241">
        <v>37500</v>
      </c>
      <c r="E241" t="s">
        <v>8</v>
      </c>
      <c r="F241" t="s">
        <v>9</v>
      </c>
    </row>
    <row r="242" spans="1:6" x14ac:dyDescent="0.25">
      <c r="A242">
        <v>241</v>
      </c>
      <c r="B242" t="s">
        <v>62</v>
      </c>
      <c r="C242" t="s">
        <v>293</v>
      </c>
      <c r="D242">
        <v>46600</v>
      </c>
      <c r="E242" t="s">
        <v>23</v>
      </c>
      <c r="F242" t="s">
        <v>9</v>
      </c>
    </row>
    <row r="243" spans="1:6" x14ac:dyDescent="0.25">
      <c r="A243">
        <v>242</v>
      </c>
      <c r="B243" t="s">
        <v>170</v>
      </c>
      <c r="C243" t="s">
        <v>294</v>
      </c>
      <c r="D243">
        <v>112300</v>
      </c>
      <c r="E243" t="s">
        <v>8</v>
      </c>
      <c r="F243" t="s">
        <v>9</v>
      </c>
    </row>
    <row r="244" spans="1:6" x14ac:dyDescent="0.25">
      <c r="A244">
        <v>243</v>
      </c>
      <c r="B244" t="s">
        <v>340</v>
      </c>
      <c r="C244" t="s">
        <v>295</v>
      </c>
      <c r="D244">
        <v>75500</v>
      </c>
      <c r="E244" t="s">
        <v>8</v>
      </c>
      <c r="F244" t="s">
        <v>9</v>
      </c>
    </row>
    <row r="245" spans="1:6" x14ac:dyDescent="0.25">
      <c r="A245">
        <v>244</v>
      </c>
      <c r="B245" t="s">
        <v>328</v>
      </c>
      <c r="C245" t="s">
        <v>296</v>
      </c>
      <c r="D245">
        <v>75300</v>
      </c>
      <c r="E245" t="s">
        <v>8</v>
      </c>
      <c r="F245" t="s">
        <v>9</v>
      </c>
    </row>
    <row r="246" spans="1:6" x14ac:dyDescent="0.25">
      <c r="A246">
        <v>245</v>
      </c>
      <c r="B246" t="s">
        <v>284</v>
      </c>
      <c r="C246" t="s">
        <v>297</v>
      </c>
      <c r="D246">
        <v>12600</v>
      </c>
      <c r="E246" t="s">
        <v>8</v>
      </c>
      <c r="F246" t="s">
        <v>9</v>
      </c>
    </row>
    <row r="247" spans="1:6" x14ac:dyDescent="0.25">
      <c r="A247">
        <v>246</v>
      </c>
      <c r="B247" t="s">
        <v>281</v>
      </c>
      <c r="C247" t="s">
        <v>298</v>
      </c>
      <c r="D247">
        <v>25600</v>
      </c>
      <c r="E247" t="s">
        <v>8</v>
      </c>
      <c r="F247" t="s">
        <v>9</v>
      </c>
    </row>
    <row r="248" spans="1:6" x14ac:dyDescent="0.25">
      <c r="A248">
        <v>247</v>
      </c>
      <c r="B248" t="s">
        <v>101</v>
      </c>
      <c r="C248" t="s">
        <v>299</v>
      </c>
      <c r="D248">
        <v>88200</v>
      </c>
      <c r="E248" t="s">
        <v>8</v>
      </c>
      <c r="F248" t="s">
        <v>9</v>
      </c>
    </row>
    <row r="249" spans="1:6" x14ac:dyDescent="0.25">
      <c r="A249">
        <v>248</v>
      </c>
      <c r="B249" t="s">
        <v>314</v>
      </c>
      <c r="C249" t="s">
        <v>300</v>
      </c>
      <c r="D249">
        <v>44600</v>
      </c>
      <c r="E249" t="s">
        <v>8</v>
      </c>
      <c r="F249" t="s">
        <v>9</v>
      </c>
    </row>
    <row r="250" spans="1:6" x14ac:dyDescent="0.25">
      <c r="A250">
        <v>249</v>
      </c>
      <c r="B250" t="s">
        <v>302</v>
      </c>
      <c r="C250" t="s">
        <v>301</v>
      </c>
      <c r="D250">
        <v>21500</v>
      </c>
      <c r="E250" t="s">
        <v>8</v>
      </c>
      <c r="F250" t="s">
        <v>9</v>
      </c>
    </row>
    <row r="251" spans="1:6" x14ac:dyDescent="0.25">
      <c r="A251">
        <v>250</v>
      </c>
      <c r="B251" t="s">
        <v>283</v>
      </c>
      <c r="C251" t="s">
        <v>303</v>
      </c>
      <c r="D251">
        <v>6900</v>
      </c>
      <c r="E251" t="s">
        <v>38</v>
      </c>
      <c r="F251" t="s">
        <v>9</v>
      </c>
    </row>
    <row r="252" spans="1:6" x14ac:dyDescent="0.25">
      <c r="A252">
        <v>251</v>
      </c>
      <c r="B252" t="s">
        <v>336</v>
      </c>
      <c r="C252" t="s">
        <v>304</v>
      </c>
      <c r="D252">
        <v>17800</v>
      </c>
      <c r="E252" t="s">
        <v>23</v>
      </c>
      <c r="F252" t="s">
        <v>9</v>
      </c>
    </row>
    <row r="253" spans="1:6" x14ac:dyDescent="0.25">
      <c r="A253">
        <v>252</v>
      </c>
      <c r="B253" t="s">
        <v>349</v>
      </c>
      <c r="C253" t="s">
        <v>305</v>
      </c>
      <c r="D253">
        <v>26900</v>
      </c>
      <c r="E253" t="s">
        <v>8</v>
      </c>
      <c r="F253" t="s">
        <v>9</v>
      </c>
    </row>
    <row r="254" spans="1:6" x14ac:dyDescent="0.25">
      <c r="A254">
        <v>253</v>
      </c>
      <c r="B254" t="s">
        <v>262</v>
      </c>
      <c r="C254" t="s">
        <v>293</v>
      </c>
      <c r="D254">
        <v>43800</v>
      </c>
      <c r="E254" t="s">
        <v>38</v>
      </c>
      <c r="F254" t="s">
        <v>9</v>
      </c>
    </row>
    <row r="255" spans="1:6" x14ac:dyDescent="0.25">
      <c r="A255">
        <v>254</v>
      </c>
      <c r="B255" t="s">
        <v>352</v>
      </c>
      <c r="C255" t="s">
        <v>294</v>
      </c>
      <c r="D255">
        <v>38000</v>
      </c>
      <c r="E255" t="s">
        <v>8</v>
      </c>
      <c r="F255" t="s">
        <v>9</v>
      </c>
    </row>
    <row r="256" spans="1:6" x14ac:dyDescent="0.25">
      <c r="A256">
        <v>255</v>
      </c>
      <c r="B256" t="s">
        <v>233</v>
      </c>
      <c r="C256" t="s">
        <v>295</v>
      </c>
      <c r="D256">
        <v>15800</v>
      </c>
      <c r="E256" t="s">
        <v>8</v>
      </c>
      <c r="F256" t="s">
        <v>9</v>
      </c>
    </row>
    <row r="257" spans="1:6" x14ac:dyDescent="0.25">
      <c r="A257">
        <v>256</v>
      </c>
      <c r="B257" t="s">
        <v>270</v>
      </c>
      <c r="C257" t="s">
        <v>296</v>
      </c>
      <c r="D257">
        <v>47300</v>
      </c>
      <c r="E257" t="s">
        <v>8</v>
      </c>
      <c r="F257" t="s">
        <v>9</v>
      </c>
    </row>
    <row r="258" spans="1:6" x14ac:dyDescent="0.25">
      <c r="A258">
        <v>257</v>
      </c>
      <c r="B258" t="s">
        <v>130</v>
      </c>
      <c r="C258" t="s">
        <v>297</v>
      </c>
      <c r="D258">
        <v>32800</v>
      </c>
      <c r="E258" t="s">
        <v>8</v>
      </c>
      <c r="F258" t="s">
        <v>9</v>
      </c>
    </row>
    <row r="259" spans="1:6" x14ac:dyDescent="0.25">
      <c r="A259">
        <v>258</v>
      </c>
      <c r="B259" t="s">
        <v>353</v>
      </c>
      <c r="C259" t="s">
        <v>298</v>
      </c>
      <c r="D259">
        <v>135400</v>
      </c>
      <c r="E259" t="s">
        <v>8</v>
      </c>
      <c r="F259" t="s">
        <v>9</v>
      </c>
    </row>
    <row r="260" spans="1:6" x14ac:dyDescent="0.25">
      <c r="A260">
        <v>259</v>
      </c>
      <c r="B260" t="s">
        <v>128</v>
      </c>
      <c r="C260" t="s">
        <v>299</v>
      </c>
      <c r="D260">
        <v>87300</v>
      </c>
      <c r="E260" t="s">
        <v>38</v>
      </c>
      <c r="F260" t="s">
        <v>20</v>
      </c>
    </row>
    <row r="261" spans="1:6" x14ac:dyDescent="0.25">
      <c r="A261">
        <v>260</v>
      </c>
      <c r="B261" t="s">
        <v>110</v>
      </c>
      <c r="C261" t="s">
        <v>300</v>
      </c>
      <c r="D261">
        <v>51700</v>
      </c>
      <c r="E261" t="s">
        <v>8</v>
      </c>
      <c r="F261" t="s">
        <v>9</v>
      </c>
    </row>
    <row r="262" spans="1:6" x14ac:dyDescent="0.25">
      <c r="A262">
        <v>261</v>
      </c>
      <c r="B262" t="s">
        <v>63</v>
      </c>
      <c r="C262" t="s">
        <v>301</v>
      </c>
      <c r="D262">
        <v>36900</v>
      </c>
      <c r="E262" t="s">
        <v>8</v>
      </c>
      <c r="F262" t="s">
        <v>9</v>
      </c>
    </row>
    <row r="263" spans="1:6" x14ac:dyDescent="0.25">
      <c r="A263">
        <v>262</v>
      </c>
      <c r="B263" t="s">
        <v>181</v>
      </c>
      <c r="C263" t="s">
        <v>303</v>
      </c>
      <c r="D263">
        <v>20400</v>
      </c>
      <c r="E263" t="s">
        <v>8</v>
      </c>
      <c r="F263" t="s">
        <v>9</v>
      </c>
    </row>
    <row r="264" spans="1:6" x14ac:dyDescent="0.25">
      <c r="A264">
        <v>263</v>
      </c>
      <c r="B264" t="s">
        <v>332</v>
      </c>
      <c r="C264" t="s">
        <v>304</v>
      </c>
      <c r="D264">
        <v>65000</v>
      </c>
      <c r="E264" t="s">
        <v>8</v>
      </c>
      <c r="F264" t="s">
        <v>20</v>
      </c>
    </row>
    <row r="265" spans="1:6" x14ac:dyDescent="0.25">
      <c r="A265">
        <v>264</v>
      </c>
      <c r="B265" t="s">
        <v>340</v>
      </c>
      <c r="C265" t="s">
        <v>305</v>
      </c>
      <c r="D265">
        <v>70300</v>
      </c>
      <c r="E265" t="s">
        <v>8</v>
      </c>
      <c r="F265" t="s">
        <v>9</v>
      </c>
    </row>
    <row r="266" spans="1:6" x14ac:dyDescent="0.25">
      <c r="A266">
        <v>265</v>
      </c>
      <c r="B266" t="s">
        <v>354</v>
      </c>
      <c r="C266" t="s">
        <v>293</v>
      </c>
      <c r="D266">
        <v>19000</v>
      </c>
      <c r="E266" t="s">
        <v>38</v>
      </c>
      <c r="F266" t="s">
        <v>20</v>
      </c>
    </row>
    <row r="267" spans="1:6" x14ac:dyDescent="0.25">
      <c r="A267">
        <v>266</v>
      </c>
      <c r="B267" t="s">
        <v>153</v>
      </c>
      <c r="C267" t="s">
        <v>294</v>
      </c>
      <c r="D267">
        <v>37800</v>
      </c>
      <c r="E267" t="s">
        <v>8</v>
      </c>
      <c r="F267" t="s">
        <v>9</v>
      </c>
    </row>
    <row r="268" spans="1:6" x14ac:dyDescent="0.25">
      <c r="A268">
        <v>267</v>
      </c>
      <c r="B268" t="s">
        <v>112</v>
      </c>
      <c r="C268" t="s">
        <v>295</v>
      </c>
      <c r="D268">
        <v>106400</v>
      </c>
      <c r="E268" t="s">
        <v>8</v>
      </c>
      <c r="F268" t="s">
        <v>9</v>
      </c>
    </row>
    <row r="269" spans="1:6" x14ac:dyDescent="0.25">
      <c r="A269">
        <v>268</v>
      </c>
      <c r="B269" t="s">
        <v>166</v>
      </c>
      <c r="C269" t="s">
        <v>296</v>
      </c>
      <c r="D269">
        <v>36700</v>
      </c>
      <c r="E269" t="s">
        <v>8</v>
      </c>
      <c r="F269" t="s">
        <v>9</v>
      </c>
    </row>
    <row r="270" spans="1:6" x14ac:dyDescent="0.25">
      <c r="A270">
        <v>269</v>
      </c>
      <c r="B270" t="s">
        <v>179</v>
      </c>
      <c r="C270" t="s">
        <v>297</v>
      </c>
      <c r="D270">
        <v>24500</v>
      </c>
      <c r="E270" t="s">
        <v>8</v>
      </c>
      <c r="F270" t="s">
        <v>9</v>
      </c>
    </row>
    <row r="271" spans="1:6" x14ac:dyDescent="0.25">
      <c r="A271">
        <v>270</v>
      </c>
      <c r="B271" t="s">
        <v>189</v>
      </c>
      <c r="C271" t="s">
        <v>298</v>
      </c>
      <c r="D271">
        <v>29100</v>
      </c>
      <c r="E271" t="s">
        <v>8</v>
      </c>
      <c r="F271" t="s">
        <v>9</v>
      </c>
    </row>
    <row r="272" spans="1:6" x14ac:dyDescent="0.25">
      <c r="A272">
        <v>271</v>
      </c>
      <c r="B272" t="s">
        <v>318</v>
      </c>
      <c r="C272" t="s">
        <v>299</v>
      </c>
      <c r="D272">
        <v>161700</v>
      </c>
      <c r="E272" t="s">
        <v>8</v>
      </c>
      <c r="F272" t="s">
        <v>9</v>
      </c>
    </row>
    <row r="273" spans="1:6" x14ac:dyDescent="0.25">
      <c r="A273">
        <v>272</v>
      </c>
      <c r="B273" t="s">
        <v>137</v>
      </c>
      <c r="C273" t="s">
        <v>300</v>
      </c>
      <c r="D273">
        <v>30800</v>
      </c>
      <c r="E273" t="s">
        <v>8</v>
      </c>
      <c r="F273" t="s">
        <v>9</v>
      </c>
    </row>
    <row r="274" spans="1:6" x14ac:dyDescent="0.25">
      <c r="A274">
        <v>273</v>
      </c>
      <c r="B274" t="s">
        <v>191</v>
      </c>
      <c r="C274" t="s">
        <v>301</v>
      </c>
      <c r="D274">
        <v>17700</v>
      </c>
      <c r="E274" t="s">
        <v>23</v>
      </c>
      <c r="F274" t="s">
        <v>20</v>
      </c>
    </row>
    <row r="275" spans="1:6" x14ac:dyDescent="0.25">
      <c r="A275">
        <v>274</v>
      </c>
      <c r="B275" t="s">
        <v>242</v>
      </c>
      <c r="C275" t="s">
        <v>303</v>
      </c>
      <c r="D275">
        <v>59700</v>
      </c>
      <c r="E275" t="s">
        <v>8</v>
      </c>
      <c r="F275" t="s">
        <v>9</v>
      </c>
    </row>
    <row r="276" spans="1:6" x14ac:dyDescent="0.25">
      <c r="A276">
        <v>275</v>
      </c>
      <c r="B276" t="s">
        <v>130</v>
      </c>
      <c r="C276" t="s">
        <v>304</v>
      </c>
      <c r="D276">
        <v>38200</v>
      </c>
      <c r="E276" t="s">
        <v>8</v>
      </c>
      <c r="F276" t="s">
        <v>9</v>
      </c>
    </row>
    <row r="277" spans="1:6" x14ac:dyDescent="0.25">
      <c r="A277">
        <v>276</v>
      </c>
      <c r="B277" t="s">
        <v>274</v>
      </c>
      <c r="C277" t="s">
        <v>305</v>
      </c>
      <c r="D277">
        <v>46900</v>
      </c>
      <c r="E277" t="s">
        <v>8</v>
      </c>
      <c r="F277" t="s">
        <v>9</v>
      </c>
    </row>
    <row r="278" spans="1:6" x14ac:dyDescent="0.25">
      <c r="A278">
        <v>277</v>
      </c>
      <c r="B278" t="s">
        <v>355</v>
      </c>
      <c r="C278" t="s">
        <v>293</v>
      </c>
      <c r="D278">
        <v>35200</v>
      </c>
      <c r="E278" t="s">
        <v>8</v>
      </c>
      <c r="F278" t="s">
        <v>9</v>
      </c>
    </row>
    <row r="279" spans="1:6" x14ac:dyDescent="0.25">
      <c r="A279">
        <v>278</v>
      </c>
      <c r="B279" t="s">
        <v>336</v>
      </c>
      <c r="C279" t="s">
        <v>294</v>
      </c>
      <c r="D279">
        <v>24500</v>
      </c>
      <c r="E279" t="s">
        <v>8</v>
      </c>
      <c r="F279" t="s">
        <v>9</v>
      </c>
    </row>
    <row r="280" spans="1:6" x14ac:dyDescent="0.25">
      <c r="A280">
        <v>279</v>
      </c>
      <c r="B280" t="s">
        <v>83</v>
      </c>
      <c r="C280" t="s">
        <v>295</v>
      </c>
      <c r="D280">
        <v>320900</v>
      </c>
      <c r="E280" t="s">
        <v>23</v>
      </c>
      <c r="F280" t="s">
        <v>9</v>
      </c>
    </row>
    <row r="281" spans="1:6" x14ac:dyDescent="0.25">
      <c r="A281">
        <v>280</v>
      </c>
      <c r="B281" t="s">
        <v>356</v>
      </c>
      <c r="C281" t="s">
        <v>296</v>
      </c>
      <c r="D281">
        <v>15700</v>
      </c>
      <c r="E281" t="s">
        <v>38</v>
      </c>
      <c r="F281" t="s">
        <v>20</v>
      </c>
    </row>
    <row r="282" spans="1:6" x14ac:dyDescent="0.25">
      <c r="A282">
        <v>281</v>
      </c>
      <c r="B282" t="s">
        <v>233</v>
      </c>
      <c r="C282" t="s">
        <v>297</v>
      </c>
      <c r="D282">
        <v>24000</v>
      </c>
      <c r="E282" t="s">
        <v>23</v>
      </c>
      <c r="F282" t="s">
        <v>9</v>
      </c>
    </row>
    <row r="283" spans="1:6" x14ac:dyDescent="0.25">
      <c r="A283">
        <v>282</v>
      </c>
      <c r="B283" t="s">
        <v>283</v>
      </c>
      <c r="C283" t="s">
        <v>298</v>
      </c>
      <c r="D283">
        <v>55600</v>
      </c>
      <c r="E283" t="s">
        <v>8</v>
      </c>
      <c r="F283" t="s">
        <v>9</v>
      </c>
    </row>
    <row r="284" spans="1:6" x14ac:dyDescent="0.25">
      <c r="A284">
        <v>283</v>
      </c>
      <c r="B284" t="s">
        <v>124</v>
      </c>
      <c r="C284" t="s">
        <v>299</v>
      </c>
      <c r="D284">
        <v>147000</v>
      </c>
      <c r="E284" t="s">
        <v>8</v>
      </c>
      <c r="F284" t="s">
        <v>9</v>
      </c>
    </row>
    <row r="285" spans="1:6" x14ac:dyDescent="0.25">
      <c r="A285">
        <v>284</v>
      </c>
      <c r="B285" t="s">
        <v>12</v>
      </c>
      <c r="C285" t="s">
        <v>296</v>
      </c>
      <c r="D285">
        <v>420000</v>
      </c>
      <c r="E285" t="s">
        <v>8</v>
      </c>
      <c r="F285" t="s">
        <v>9</v>
      </c>
    </row>
    <row r="286" spans="1:6" x14ac:dyDescent="0.25">
      <c r="A286">
        <v>285</v>
      </c>
      <c r="B286" t="s">
        <v>96</v>
      </c>
      <c r="C286" t="s">
        <v>301</v>
      </c>
      <c r="D286">
        <v>94300</v>
      </c>
      <c r="E286" t="s">
        <v>8</v>
      </c>
      <c r="F286" t="s">
        <v>9</v>
      </c>
    </row>
    <row r="287" spans="1:6" x14ac:dyDescent="0.25">
      <c r="A287">
        <v>286</v>
      </c>
      <c r="B287" t="s">
        <v>228</v>
      </c>
      <c r="C287" t="s">
        <v>303</v>
      </c>
      <c r="D287">
        <v>24700</v>
      </c>
      <c r="E287" t="s">
        <v>8</v>
      </c>
      <c r="F287" t="s">
        <v>9</v>
      </c>
    </row>
    <row r="288" spans="1:6" x14ac:dyDescent="0.25">
      <c r="A288">
        <v>287</v>
      </c>
      <c r="B288" t="s">
        <v>324</v>
      </c>
      <c r="C288" t="s">
        <v>304</v>
      </c>
      <c r="D288">
        <v>34600</v>
      </c>
      <c r="E288" t="s">
        <v>23</v>
      </c>
      <c r="F288" t="s">
        <v>9</v>
      </c>
    </row>
    <row r="289" spans="1:6" x14ac:dyDescent="0.25">
      <c r="A289">
        <v>288</v>
      </c>
      <c r="B289" t="s">
        <v>321</v>
      </c>
      <c r="C289" t="s">
        <v>305</v>
      </c>
      <c r="D289">
        <v>39100</v>
      </c>
      <c r="E289" t="s">
        <v>23</v>
      </c>
      <c r="F289" t="s">
        <v>9</v>
      </c>
    </row>
    <row r="290" spans="1:6" x14ac:dyDescent="0.25">
      <c r="A290">
        <v>289</v>
      </c>
      <c r="B290" t="s">
        <v>117</v>
      </c>
      <c r="C290" t="s">
        <v>293</v>
      </c>
      <c r="D290">
        <v>35500</v>
      </c>
      <c r="E290" t="s">
        <v>8</v>
      </c>
      <c r="F290" t="s">
        <v>9</v>
      </c>
    </row>
    <row r="291" spans="1:6" x14ac:dyDescent="0.25">
      <c r="A291">
        <v>290</v>
      </c>
      <c r="B291" t="s">
        <v>261</v>
      </c>
      <c r="C291" t="s">
        <v>294</v>
      </c>
      <c r="D291">
        <v>106400</v>
      </c>
      <c r="E291" t="s">
        <v>8</v>
      </c>
      <c r="F291" t="s">
        <v>9</v>
      </c>
    </row>
    <row r="292" spans="1:6" x14ac:dyDescent="0.25">
      <c r="A292">
        <v>291</v>
      </c>
      <c r="B292" t="s">
        <v>340</v>
      </c>
      <c r="C292" t="s">
        <v>295</v>
      </c>
      <c r="D292">
        <v>21600</v>
      </c>
      <c r="E292" t="s">
        <v>23</v>
      </c>
      <c r="F292" t="s">
        <v>9</v>
      </c>
    </row>
    <row r="293" spans="1:6" x14ac:dyDescent="0.25">
      <c r="A293">
        <v>292</v>
      </c>
      <c r="B293" t="s">
        <v>354</v>
      </c>
      <c r="C293" t="s">
        <v>296</v>
      </c>
      <c r="D293">
        <v>48100</v>
      </c>
      <c r="E293" t="s">
        <v>8</v>
      </c>
      <c r="F293" t="s">
        <v>9</v>
      </c>
    </row>
    <row r="294" spans="1:6" x14ac:dyDescent="0.25">
      <c r="A294">
        <v>293</v>
      </c>
      <c r="B294" t="s">
        <v>60</v>
      </c>
      <c r="C294" t="s">
        <v>297</v>
      </c>
      <c r="D294">
        <v>69800</v>
      </c>
      <c r="E294" t="s">
        <v>8</v>
      </c>
      <c r="F294" t="s">
        <v>9</v>
      </c>
    </row>
    <row r="295" spans="1:6" x14ac:dyDescent="0.25">
      <c r="A295">
        <v>294</v>
      </c>
      <c r="B295" t="s">
        <v>240</v>
      </c>
      <c r="C295" t="s">
        <v>298</v>
      </c>
      <c r="D295">
        <v>25300</v>
      </c>
      <c r="E295" t="s">
        <v>8</v>
      </c>
      <c r="F295" t="s">
        <v>9</v>
      </c>
    </row>
    <row r="296" spans="1:6" x14ac:dyDescent="0.25">
      <c r="A296">
        <v>295</v>
      </c>
      <c r="B296" t="s">
        <v>341</v>
      </c>
      <c r="C296" t="s">
        <v>299</v>
      </c>
      <c r="D296">
        <v>27100</v>
      </c>
      <c r="E296" t="s">
        <v>8</v>
      </c>
      <c r="F296" t="s">
        <v>9</v>
      </c>
    </row>
    <row r="297" spans="1:6" x14ac:dyDescent="0.25">
      <c r="A297">
        <v>296</v>
      </c>
      <c r="B297" t="s">
        <v>273</v>
      </c>
      <c r="C297" t="s">
        <v>300</v>
      </c>
      <c r="D297">
        <v>34500</v>
      </c>
      <c r="E297" t="s">
        <v>8</v>
      </c>
      <c r="F297" t="s">
        <v>9</v>
      </c>
    </row>
    <row r="298" spans="1:6" x14ac:dyDescent="0.25">
      <c r="A298">
        <v>297</v>
      </c>
      <c r="B298" t="s">
        <v>99</v>
      </c>
      <c r="C298" t="s">
        <v>301</v>
      </c>
      <c r="D298">
        <v>72600</v>
      </c>
      <c r="E298" t="s">
        <v>8</v>
      </c>
      <c r="F298" t="s">
        <v>9</v>
      </c>
    </row>
    <row r="299" spans="1:6" x14ac:dyDescent="0.25">
      <c r="A299">
        <v>298</v>
      </c>
      <c r="B299" t="s">
        <v>203</v>
      </c>
      <c r="C299" t="s">
        <v>303</v>
      </c>
      <c r="D299">
        <v>108800</v>
      </c>
      <c r="E299" t="s">
        <v>8</v>
      </c>
      <c r="F299" t="s">
        <v>9</v>
      </c>
    </row>
    <row r="300" spans="1:6" x14ac:dyDescent="0.25">
      <c r="A300">
        <v>299</v>
      </c>
      <c r="B300" t="s">
        <v>70</v>
      </c>
      <c r="C300" t="s">
        <v>304</v>
      </c>
      <c r="D300">
        <v>21000</v>
      </c>
      <c r="E300" t="s">
        <v>8</v>
      </c>
      <c r="F300" t="s">
        <v>9</v>
      </c>
    </row>
    <row r="301" spans="1:6" x14ac:dyDescent="0.25">
      <c r="A301">
        <v>300</v>
      </c>
      <c r="B301" t="s">
        <v>330</v>
      </c>
      <c r="C301" t="s">
        <v>305</v>
      </c>
      <c r="D301">
        <v>35500</v>
      </c>
      <c r="E301" t="s">
        <v>38</v>
      </c>
      <c r="F301" t="s">
        <v>20</v>
      </c>
    </row>
    <row r="302" spans="1:6" x14ac:dyDescent="0.25">
      <c r="A302">
        <v>301</v>
      </c>
      <c r="B302" t="s">
        <v>181</v>
      </c>
      <c r="C302" t="s">
        <v>293</v>
      </c>
      <c r="D302">
        <v>35400</v>
      </c>
      <c r="E302" t="s">
        <v>8</v>
      </c>
      <c r="F302" t="s">
        <v>9</v>
      </c>
    </row>
    <row r="303" spans="1:6" x14ac:dyDescent="0.25">
      <c r="A303">
        <v>302</v>
      </c>
      <c r="B303" t="s">
        <v>180</v>
      </c>
      <c r="C303" t="s">
        <v>294</v>
      </c>
      <c r="D303">
        <v>51200</v>
      </c>
      <c r="E303" t="s">
        <v>23</v>
      </c>
      <c r="F303" t="s">
        <v>9</v>
      </c>
    </row>
    <row r="304" spans="1:6" x14ac:dyDescent="0.25">
      <c r="A304">
        <v>303</v>
      </c>
      <c r="B304" t="s">
        <v>235</v>
      </c>
      <c r="C304" t="s">
        <v>295</v>
      </c>
      <c r="D304">
        <v>79200</v>
      </c>
      <c r="E304" t="s">
        <v>8</v>
      </c>
      <c r="F304" t="s">
        <v>9</v>
      </c>
    </row>
    <row r="305" spans="1:6" x14ac:dyDescent="0.25">
      <c r="A305">
        <v>304</v>
      </c>
      <c r="B305" t="s">
        <v>357</v>
      </c>
      <c r="C305" t="s">
        <v>296</v>
      </c>
      <c r="D305">
        <v>27600</v>
      </c>
      <c r="E305" t="s">
        <v>8</v>
      </c>
      <c r="F305" t="s">
        <v>9</v>
      </c>
    </row>
    <row r="306" spans="1:6" x14ac:dyDescent="0.25">
      <c r="A306">
        <v>305</v>
      </c>
      <c r="B306" t="s">
        <v>185</v>
      </c>
      <c r="C306" t="s">
        <v>297</v>
      </c>
      <c r="D306">
        <v>24500</v>
      </c>
      <c r="E306" t="s">
        <v>8</v>
      </c>
      <c r="F306" t="s">
        <v>9</v>
      </c>
    </row>
    <row r="307" spans="1:6" x14ac:dyDescent="0.25">
      <c r="A307">
        <v>306</v>
      </c>
      <c r="B307" t="s">
        <v>358</v>
      </c>
      <c r="C307" t="s">
        <v>298</v>
      </c>
      <c r="D307">
        <v>92300</v>
      </c>
      <c r="E307" t="s">
        <v>8</v>
      </c>
      <c r="F307" t="s">
        <v>9</v>
      </c>
    </row>
    <row r="308" spans="1:6" x14ac:dyDescent="0.25">
      <c r="A308">
        <v>307</v>
      </c>
      <c r="B308" t="s">
        <v>354</v>
      </c>
      <c r="C308" t="s">
        <v>299</v>
      </c>
      <c r="D308">
        <v>20100</v>
      </c>
      <c r="E308" t="s">
        <v>38</v>
      </c>
      <c r="F308" t="s">
        <v>20</v>
      </c>
    </row>
    <row r="309" spans="1:6" x14ac:dyDescent="0.25">
      <c r="A309">
        <v>308</v>
      </c>
      <c r="B309" t="s">
        <v>270</v>
      </c>
      <c r="C309" t="s">
        <v>300</v>
      </c>
      <c r="D309">
        <v>34800</v>
      </c>
      <c r="E309" t="s">
        <v>8</v>
      </c>
      <c r="F309" t="s">
        <v>9</v>
      </c>
    </row>
    <row r="310" spans="1:6" x14ac:dyDescent="0.25">
      <c r="A310">
        <v>309</v>
      </c>
      <c r="B310" t="s">
        <v>359</v>
      </c>
      <c r="C310" t="s">
        <v>301</v>
      </c>
      <c r="D310">
        <v>42700</v>
      </c>
      <c r="E310" t="s">
        <v>8</v>
      </c>
      <c r="F310" t="s">
        <v>20</v>
      </c>
    </row>
    <row r="311" spans="1:6" x14ac:dyDescent="0.25">
      <c r="A311">
        <v>310</v>
      </c>
      <c r="B311" t="s">
        <v>354</v>
      </c>
      <c r="C311" t="s">
        <v>303</v>
      </c>
      <c r="D311">
        <v>57300</v>
      </c>
      <c r="E311" t="s">
        <v>8</v>
      </c>
      <c r="F311" t="s">
        <v>9</v>
      </c>
    </row>
    <row r="312" spans="1:6" x14ac:dyDescent="0.25">
      <c r="A312">
        <v>311</v>
      </c>
      <c r="B312" t="s">
        <v>106</v>
      </c>
      <c r="C312" t="s">
        <v>304</v>
      </c>
      <c r="D312">
        <v>24900</v>
      </c>
      <c r="E312" t="s">
        <v>8</v>
      </c>
      <c r="F312" t="s">
        <v>9</v>
      </c>
    </row>
    <row r="313" spans="1:6" x14ac:dyDescent="0.25">
      <c r="A313">
        <v>312</v>
      </c>
      <c r="B313" t="s">
        <v>241</v>
      </c>
      <c r="C313" t="s">
        <v>305</v>
      </c>
      <c r="D313">
        <v>30500</v>
      </c>
      <c r="E313" t="s">
        <v>8</v>
      </c>
      <c r="F313" t="s">
        <v>9</v>
      </c>
    </row>
    <row r="314" spans="1:6" x14ac:dyDescent="0.25">
      <c r="A314">
        <v>313</v>
      </c>
      <c r="B314" t="s">
        <v>269</v>
      </c>
      <c r="C314" t="s">
        <v>293</v>
      </c>
      <c r="D314">
        <v>34800</v>
      </c>
      <c r="E314" t="s">
        <v>8</v>
      </c>
      <c r="F314" t="s">
        <v>9</v>
      </c>
    </row>
    <row r="315" spans="1:6" x14ac:dyDescent="0.25">
      <c r="A315">
        <v>314</v>
      </c>
      <c r="B315" t="s">
        <v>120</v>
      </c>
      <c r="C315" t="s">
        <v>294</v>
      </c>
      <c r="D315">
        <v>35000</v>
      </c>
      <c r="E315" t="s">
        <v>23</v>
      </c>
      <c r="F315" t="s">
        <v>9</v>
      </c>
    </row>
    <row r="316" spans="1:6" x14ac:dyDescent="0.25">
      <c r="A316">
        <v>315</v>
      </c>
      <c r="B316" t="s">
        <v>239</v>
      </c>
      <c r="C316" t="s">
        <v>295</v>
      </c>
      <c r="D316">
        <v>69800</v>
      </c>
      <c r="E316" t="s">
        <v>8</v>
      </c>
      <c r="F316" t="s">
        <v>9</v>
      </c>
    </row>
    <row r="317" spans="1:6" x14ac:dyDescent="0.25">
      <c r="A317">
        <v>316</v>
      </c>
      <c r="B317" t="s">
        <v>106</v>
      </c>
      <c r="C317" t="s">
        <v>297</v>
      </c>
      <c r="D317">
        <v>410000</v>
      </c>
      <c r="E317" t="s">
        <v>8</v>
      </c>
      <c r="F317" t="s">
        <v>9</v>
      </c>
    </row>
    <row r="318" spans="1:6" x14ac:dyDescent="0.25">
      <c r="A318">
        <v>317</v>
      </c>
      <c r="B318" t="s">
        <v>340</v>
      </c>
      <c r="C318" t="s">
        <v>297</v>
      </c>
      <c r="D318">
        <v>91800</v>
      </c>
      <c r="E318" t="s">
        <v>23</v>
      </c>
      <c r="F318" t="s">
        <v>9</v>
      </c>
    </row>
    <row r="319" spans="1:6" x14ac:dyDescent="0.25">
      <c r="A319">
        <v>318</v>
      </c>
      <c r="B319" t="s">
        <v>65</v>
      </c>
      <c r="C319" t="s">
        <v>298</v>
      </c>
      <c r="D319">
        <v>55700</v>
      </c>
      <c r="E319" t="s">
        <v>8</v>
      </c>
      <c r="F319" t="s">
        <v>9</v>
      </c>
    </row>
    <row r="320" spans="1:6" x14ac:dyDescent="0.25">
      <c r="A320">
        <v>319</v>
      </c>
      <c r="B320" t="s">
        <v>109</v>
      </c>
      <c r="C320" t="s">
        <v>299</v>
      </c>
      <c r="D320">
        <v>46700</v>
      </c>
      <c r="E320" t="s">
        <v>8</v>
      </c>
      <c r="F320" t="s">
        <v>9</v>
      </c>
    </row>
    <row r="321" spans="1:6" x14ac:dyDescent="0.25">
      <c r="A321">
        <v>320</v>
      </c>
      <c r="B321" t="s">
        <v>26</v>
      </c>
      <c r="C321" t="s">
        <v>300</v>
      </c>
      <c r="D321">
        <v>56400</v>
      </c>
      <c r="E321" t="s">
        <v>38</v>
      </c>
      <c r="F321" t="s">
        <v>20</v>
      </c>
    </row>
    <row r="322" spans="1:6" x14ac:dyDescent="0.25">
      <c r="A322">
        <v>321</v>
      </c>
      <c r="B322" t="s">
        <v>217</v>
      </c>
      <c r="C322" t="s">
        <v>301</v>
      </c>
      <c r="D322">
        <v>127700</v>
      </c>
      <c r="E322" t="s">
        <v>23</v>
      </c>
      <c r="F322" t="s">
        <v>9</v>
      </c>
    </row>
    <row r="323" spans="1:6" x14ac:dyDescent="0.25">
      <c r="A323">
        <v>322</v>
      </c>
      <c r="B323" t="s">
        <v>155</v>
      </c>
      <c r="C323" t="s">
        <v>303</v>
      </c>
      <c r="D323">
        <v>47400</v>
      </c>
      <c r="E323" t="s">
        <v>8</v>
      </c>
      <c r="F323" t="s">
        <v>9</v>
      </c>
    </row>
    <row r="324" spans="1:6" x14ac:dyDescent="0.25">
      <c r="A324">
        <v>323</v>
      </c>
      <c r="B324" t="s">
        <v>159</v>
      </c>
      <c r="C324" t="s">
        <v>304</v>
      </c>
      <c r="D324">
        <v>236000</v>
      </c>
      <c r="E324" t="s">
        <v>8</v>
      </c>
      <c r="F324" t="s">
        <v>9</v>
      </c>
    </row>
    <row r="325" spans="1:6" x14ac:dyDescent="0.25">
      <c r="A325">
        <v>324</v>
      </c>
      <c r="B325" t="s">
        <v>360</v>
      </c>
      <c r="C325" t="s">
        <v>305</v>
      </c>
      <c r="D325">
        <v>93300</v>
      </c>
      <c r="E325" t="s">
        <v>23</v>
      </c>
      <c r="F325" t="s">
        <v>9</v>
      </c>
    </row>
    <row r="326" spans="1:6" x14ac:dyDescent="0.25">
      <c r="A326">
        <v>325</v>
      </c>
      <c r="B326" t="s">
        <v>49</v>
      </c>
      <c r="C326" t="s">
        <v>293</v>
      </c>
      <c r="D326">
        <v>49700</v>
      </c>
      <c r="E326" t="s">
        <v>38</v>
      </c>
      <c r="F326" t="s">
        <v>9</v>
      </c>
    </row>
    <row r="327" spans="1:6" x14ac:dyDescent="0.25">
      <c r="A327">
        <v>326</v>
      </c>
      <c r="B327" t="s">
        <v>265</v>
      </c>
      <c r="C327" t="s">
        <v>294</v>
      </c>
      <c r="D327">
        <v>20900</v>
      </c>
      <c r="E327" t="s">
        <v>8</v>
      </c>
      <c r="F327" t="s">
        <v>9</v>
      </c>
    </row>
    <row r="328" spans="1:6" x14ac:dyDescent="0.25">
      <c r="A328">
        <v>327</v>
      </c>
      <c r="B328" t="s">
        <v>262</v>
      </c>
      <c r="C328" t="s">
        <v>295</v>
      </c>
      <c r="D328">
        <v>11200</v>
      </c>
      <c r="E328" t="s">
        <v>38</v>
      </c>
      <c r="F328" t="s">
        <v>20</v>
      </c>
    </row>
    <row r="329" spans="1:6" x14ac:dyDescent="0.25">
      <c r="A329">
        <v>328</v>
      </c>
      <c r="B329" t="s">
        <v>357</v>
      </c>
      <c r="C329" t="s">
        <v>296</v>
      </c>
      <c r="D329">
        <v>55200</v>
      </c>
      <c r="E329" t="s">
        <v>8</v>
      </c>
      <c r="F329" t="s">
        <v>9</v>
      </c>
    </row>
    <row r="330" spans="1:6" x14ac:dyDescent="0.25">
      <c r="A330">
        <v>329</v>
      </c>
      <c r="B330" t="s">
        <v>318</v>
      </c>
      <c r="C330" t="s">
        <v>297</v>
      </c>
      <c r="D330">
        <v>87000</v>
      </c>
      <c r="E330" t="s">
        <v>8</v>
      </c>
      <c r="F330" t="s">
        <v>9</v>
      </c>
    </row>
    <row r="331" spans="1:6" x14ac:dyDescent="0.25">
      <c r="A331">
        <v>330</v>
      </c>
      <c r="B331" t="s">
        <v>58</v>
      </c>
      <c r="C331" t="s">
        <v>298</v>
      </c>
      <c r="D331">
        <v>10300</v>
      </c>
      <c r="E331" t="s">
        <v>8</v>
      </c>
      <c r="F331" t="s">
        <v>9</v>
      </c>
    </row>
    <row r="332" spans="1:6" x14ac:dyDescent="0.25">
      <c r="A332">
        <v>331</v>
      </c>
      <c r="B332" t="s">
        <v>361</v>
      </c>
      <c r="C332" t="s">
        <v>299</v>
      </c>
      <c r="D332">
        <v>17800</v>
      </c>
      <c r="E332" t="s">
        <v>8</v>
      </c>
      <c r="F332" t="s">
        <v>9</v>
      </c>
    </row>
    <row r="333" spans="1:6" x14ac:dyDescent="0.25">
      <c r="A333">
        <v>332</v>
      </c>
      <c r="B333" t="s">
        <v>362</v>
      </c>
      <c r="C333" t="s">
        <v>300</v>
      </c>
      <c r="D333">
        <v>36100</v>
      </c>
      <c r="E333" t="s">
        <v>8</v>
      </c>
      <c r="F333" t="s">
        <v>20</v>
      </c>
    </row>
    <row r="334" spans="1:6" x14ac:dyDescent="0.25">
      <c r="A334">
        <v>333</v>
      </c>
      <c r="B334" t="s">
        <v>359</v>
      </c>
      <c r="C334" t="s">
        <v>301</v>
      </c>
      <c r="D334">
        <v>35800</v>
      </c>
      <c r="E334" t="s">
        <v>8</v>
      </c>
      <c r="F334" t="s">
        <v>9</v>
      </c>
    </row>
    <row r="335" spans="1:6" x14ac:dyDescent="0.25">
      <c r="A335">
        <v>334</v>
      </c>
      <c r="B335" t="s">
        <v>60</v>
      </c>
      <c r="C335" t="s">
        <v>303</v>
      </c>
      <c r="D335">
        <v>34900</v>
      </c>
      <c r="E335" t="s">
        <v>8</v>
      </c>
      <c r="F335" t="s">
        <v>9</v>
      </c>
    </row>
    <row r="336" spans="1:6" x14ac:dyDescent="0.25">
      <c r="A336">
        <v>335</v>
      </c>
      <c r="B336" t="s">
        <v>363</v>
      </c>
      <c r="C336" t="s">
        <v>304</v>
      </c>
      <c r="D336">
        <v>13600</v>
      </c>
      <c r="E336" t="s">
        <v>8</v>
      </c>
      <c r="F336" t="s">
        <v>9</v>
      </c>
    </row>
    <row r="337" spans="1:6" x14ac:dyDescent="0.25">
      <c r="A337">
        <v>336</v>
      </c>
      <c r="B337" t="s">
        <v>102</v>
      </c>
      <c r="C337" t="s">
        <v>305</v>
      </c>
      <c r="D337">
        <v>13000</v>
      </c>
      <c r="E337" t="s">
        <v>8</v>
      </c>
      <c r="F337" t="s">
        <v>9</v>
      </c>
    </row>
    <row r="338" spans="1:6" x14ac:dyDescent="0.25">
      <c r="A338">
        <v>337</v>
      </c>
      <c r="B338" t="s">
        <v>250</v>
      </c>
      <c r="C338" t="s">
        <v>293</v>
      </c>
      <c r="D338">
        <v>8700</v>
      </c>
      <c r="E338" t="s">
        <v>38</v>
      </c>
      <c r="F338" t="s">
        <v>20</v>
      </c>
    </row>
    <row r="339" spans="1:6" x14ac:dyDescent="0.25">
      <c r="A339">
        <v>338</v>
      </c>
      <c r="B339" t="s">
        <v>331</v>
      </c>
      <c r="C339" t="s">
        <v>294</v>
      </c>
      <c r="D339">
        <v>24900</v>
      </c>
      <c r="E339" t="s">
        <v>23</v>
      </c>
      <c r="F339" t="s">
        <v>9</v>
      </c>
    </row>
    <row r="340" spans="1:6" x14ac:dyDescent="0.25">
      <c r="A340">
        <v>339</v>
      </c>
      <c r="B340" t="s">
        <v>71</v>
      </c>
      <c r="C340" t="s">
        <v>295</v>
      </c>
      <c r="D340">
        <v>66900</v>
      </c>
      <c r="E340" t="s">
        <v>8</v>
      </c>
      <c r="F340" t="s">
        <v>9</v>
      </c>
    </row>
    <row r="341" spans="1:6" x14ac:dyDescent="0.25">
      <c r="A341">
        <v>340</v>
      </c>
      <c r="B341" t="s">
        <v>223</v>
      </c>
      <c r="C341" t="s">
        <v>296</v>
      </c>
      <c r="D341">
        <v>134000</v>
      </c>
      <c r="E341" t="s">
        <v>8</v>
      </c>
      <c r="F341" t="s">
        <v>9</v>
      </c>
    </row>
    <row r="342" spans="1:6" x14ac:dyDescent="0.25">
      <c r="A342">
        <v>341</v>
      </c>
      <c r="B342" t="s">
        <v>83</v>
      </c>
      <c r="C342" t="s">
        <v>297</v>
      </c>
      <c r="D342">
        <v>23900</v>
      </c>
      <c r="E342" t="s">
        <v>8</v>
      </c>
      <c r="F342" t="s">
        <v>9</v>
      </c>
    </row>
    <row r="343" spans="1:6" x14ac:dyDescent="0.25">
      <c r="A343">
        <v>342</v>
      </c>
      <c r="B343" t="s">
        <v>211</v>
      </c>
      <c r="C343" t="s">
        <v>298</v>
      </c>
      <c r="D343">
        <v>16900</v>
      </c>
      <c r="E343" t="s">
        <v>8</v>
      </c>
      <c r="F343" t="s">
        <v>9</v>
      </c>
    </row>
    <row r="344" spans="1:6" x14ac:dyDescent="0.25">
      <c r="A344">
        <v>343</v>
      </c>
      <c r="B344" t="s">
        <v>116</v>
      </c>
      <c r="C344" t="s">
        <v>299</v>
      </c>
      <c r="D344">
        <v>56200</v>
      </c>
      <c r="E344" t="s">
        <v>8</v>
      </c>
      <c r="F344" t="s">
        <v>9</v>
      </c>
    </row>
    <row r="345" spans="1:6" x14ac:dyDescent="0.25">
      <c r="A345">
        <v>344</v>
      </c>
      <c r="B345" t="s">
        <v>40</v>
      </c>
      <c r="C345" t="s">
        <v>300</v>
      </c>
      <c r="D345">
        <v>89300</v>
      </c>
      <c r="E345" t="s">
        <v>8</v>
      </c>
      <c r="F345" t="s">
        <v>9</v>
      </c>
    </row>
    <row r="346" spans="1:6" x14ac:dyDescent="0.25">
      <c r="A346">
        <v>345</v>
      </c>
      <c r="B346" t="s">
        <v>108</v>
      </c>
      <c r="C346" t="s">
        <v>301</v>
      </c>
      <c r="D346">
        <v>123900</v>
      </c>
      <c r="E346" t="s">
        <v>8</v>
      </c>
      <c r="F346" t="s">
        <v>9</v>
      </c>
    </row>
    <row r="347" spans="1:6" x14ac:dyDescent="0.25">
      <c r="A347">
        <v>346</v>
      </c>
      <c r="B347" t="s">
        <v>270</v>
      </c>
      <c r="C347" t="s">
        <v>303</v>
      </c>
      <c r="D347">
        <v>48300</v>
      </c>
      <c r="E347" t="s">
        <v>8</v>
      </c>
      <c r="F347" t="s">
        <v>9</v>
      </c>
    </row>
    <row r="348" spans="1:6" x14ac:dyDescent="0.25">
      <c r="A348">
        <v>347</v>
      </c>
      <c r="B348" t="s">
        <v>40</v>
      </c>
      <c r="C348" t="s">
        <v>304</v>
      </c>
      <c r="D348">
        <v>37300</v>
      </c>
      <c r="E348" t="s">
        <v>8</v>
      </c>
      <c r="F348" t="s">
        <v>9</v>
      </c>
    </row>
    <row r="349" spans="1:6" x14ac:dyDescent="0.25">
      <c r="A349">
        <v>348</v>
      </c>
      <c r="B349" t="s">
        <v>165</v>
      </c>
      <c r="C349" t="s">
        <v>305</v>
      </c>
      <c r="D349">
        <v>8400</v>
      </c>
      <c r="E349" t="s">
        <v>8</v>
      </c>
      <c r="F349" t="s">
        <v>9</v>
      </c>
    </row>
    <row r="350" spans="1:6" x14ac:dyDescent="0.25">
      <c r="A350">
        <v>349</v>
      </c>
      <c r="B350" t="s">
        <v>143</v>
      </c>
      <c r="C350" t="s">
        <v>293</v>
      </c>
      <c r="D350">
        <v>18000</v>
      </c>
      <c r="E350" t="s">
        <v>8</v>
      </c>
      <c r="F350" t="s">
        <v>9</v>
      </c>
    </row>
    <row r="351" spans="1:6" x14ac:dyDescent="0.25">
      <c r="A351">
        <v>350</v>
      </c>
      <c r="B351" t="s">
        <v>341</v>
      </c>
      <c r="C351" t="s">
        <v>294</v>
      </c>
      <c r="D351">
        <v>18800</v>
      </c>
      <c r="E351" t="s">
        <v>8</v>
      </c>
      <c r="F351" t="s">
        <v>9</v>
      </c>
    </row>
    <row r="352" spans="1:6" x14ac:dyDescent="0.25">
      <c r="A352">
        <v>351</v>
      </c>
      <c r="B352" t="s">
        <v>112</v>
      </c>
      <c r="C352" t="s">
        <v>295</v>
      </c>
      <c r="D352">
        <v>13700</v>
      </c>
      <c r="E352" t="s">
        <v>8</v>
      </c>
      <c r="F352" t="s">
        <v>9</v>
      </c>
    </row>
    <row r="353" spans="1:6" x14ac:dyDescent="0.25">
      <c r="A353">
        <v>352</v>
      </c>
      <c r="B353" t="s">
        <v>364</v>
      </c>
      <c r="C353" t="s">
        <v>296</v>
      </c>
      <c r="D353">
        <v>47200</v>
      </c>
      <c r="E353" t="s">
        <v>8</v>
      </c>
      <c r="F353" t="s">
        <v>9</v>
      </c>
    </row>
    <row r="354" spans="1:6" x14ac:dyDescent="0.25">
      <c r="A354">
        <v>353</v>
      </c>
      <c r="B354" t="s">
        <v>340</v>
      </c>
      <c r="C354" t="s">
        <v>297</v>
      </c>
      <c r="D354">
        <v>23800</v>
      </c>
      <c r="E354" t="s">
        <v>8</v>
      </c>
      <c r="F354" t="s">
        <v>9</v>
      </c>
    </row>
    <row r="355" spans="1:6" x14ac:dyDescent="0.25">
      <c r="A355">
        <v>354</v>
      </c>
      <c r="B355" t="s">
        <v>95</v>
      </c>
      <c r="C355" t="s">
        <v>298</v>
      </c>
      <c r="D355">
        <v>17000</v>
      </c>
      <c r="E355" t="s">
        <v>8</v>
      </c>
      <c r="F355" t="s">
        <v>9</v>
      </c>
    </row>
    <row r="356" spans="1:6" x14ac:dyDescent="0.25">
      <c r="A356">
        <v>355</v>
      </c>
      <c r="B356" t="s">
        <v>344</v>
      </c>
      <c r="C356" t="s">
        <v>299</v>
      </c>
      <c r="D356">
        <v>12000</v>
      </c>
      <c r="E356" t="s">
        <v>8</v>
      </c>
      <c r="F356" t="s">
        <v>9</v>
      </c>
    </row>
    <row r="357" spans="1:6" x14ac:dyDescent="0.25">
      <c r="A357">
        <v>356</v>
      </c>
      <c r="B357" t="s">
        <v>154</v>
      </c>
      <c r="C357" t="s">
        <v>300</v>
      </c>
      <c r="D357">
        <v>58600</v>
      </c>
      <c r="E357" t="s">
        <v>8</v>
      </c>
      <c r="F357" t="s">
        <v>9</v>
      </c>
    </row>
    <row r="358" spans="1:6" x14ac:dyDescent="0.25">
      <c r="A358">
        <v>357</v>
      </c>
      <c r="B358" t="s">
        <v>207</v>
      </c>
      <c r="C358" t="s">
        <v>301</v>
      </c>
      <c r="D358">
        <v>50300</v>
      </c>
      <c r="E358" t="s">
        <v>8</v>
      </c>
      <c r="F358" t="s">
        <v>9</v>
      </c>
    </row>
    <row r="359" spans="1:6" x14ac:dyDescent="0.25">
      <c r="A359">
        <v>358</v>
      </c>
      <c r="B359" t="s">
        <v>103</v>
      </c>
      <c r="C359" t="s">
        <v>303</v>
      </c>
      <c r="D359">
        <v>78500</v>
      </c>
      <c r="E359" t="s">
        <v>8</v>
      </c>
      <c r="F359" t="s">
        <v>20</v>
      </c>
    </row>
    <row r="360" spans="1:6" x14ac:dyDescent="0.25">
      <c r="A360">
        <v>359</v>
      </c>
      <c r="B360" t="s">
        <v>237</v>
      </c>
      <c r="C360" t="s">
        <v>304</v>
      </c>
      <c r="D360">
        <v>27800</v>
      </c>
      <c r="E360" t="s">
        <v>8</v>
      </c>
      <c r="F360" t="s">
        <v>9</v>
      </c>
    </row>
    <row r="361" spans="1:6" x14ac:dyDescent="0.25">
      <c r="A361">
        <v>360</v>
      </c>
      <c r="B361" t="s">
        <v>320</v>
      </c>
      <c r="C361" t="s">
        <v>305</v>
      </c>
      <c r="D361">
        <v>45900</v>
      </c>
      <c r="E361" t="s">
        <v>8</v>
      </c>
      <c r="F361" t="s">
        <v>9</v>
      </c>
    </row>
    <row r="362" spans="1:6" x14ac:dyDescent="0.25">
      <c r="A362">
        <v>361</v>
      </c>
      <c r="B362" t="s">
        <v>95</v>
      </c>
      <c r="C362" t="s">
        <v>293</v>
      </c>
      <c r="D362">
        <v>60200</v>
      </c>
      <c r="E362" t="s">
        <v>8</v>
      </c>
      <c r="F362" t="s">
        <v>9</v>
      </c>
    </row>
    <row r="363" spans="1:6" x14ac:dyDescent="0.25">
      <c r="A363">
        <v>362</v>
      </c>
      <c r="B363" t="s">
        <v>116</v>
      </c>
      <c r="C363" t="s">
        <v>294</v>
      </c>
      <c r="D363">
        <v>59200</v>
      </c>
      <c r="E363" t="s">
        <v>8</v>
      </c>
      <c r="F363" t="s">
        <v>9</v>
      </c>
    </row>
    <row r="364" spans="1:6" x14ac:dyDescent="0.25">
      <c r="A364">
        <v>363</v>
      </c>
      <c r="B364" t="s">
        <v>365</v>
      </c>
      <c r="C364" t="s">
        <v>295</v>
      </c>
      <c r="D364">
        <v>6100</v>
      </c>
      <c r="E364" t="s">
        <v>8</v>
      </c>
      <c r="F364" t="s">
        <v>9</v>
      </c>
    </row>
    <row r="365" spans="1:6" x14ac:dyDescent="0.25">
      <c r="A365">
        <v>364</v>
      </c>
      <c r="B365" t="s">
        <v>66</v>
      </c>
      <c r="C365" t="s">
        <v>296</v>
      </c>
      <c r="D365">
        <v>203400</v>
      </c>
      <c r="E365" t="s">
        <v>8</v>
      </c>
      <c r="F365" t="s">
        <v>20</v>
      </c>
    </row>
    <row r="366" spans="1:6" x14ac:dyDescent="0.25">
      <c r="A366">
        <v>365</v>
      </c>
      <c r="B366" t="s">
        <v>111</v>
      </c>
      <c r="C366" t="s">
        <v>297</v>
      </c>
      <c r="D366">
        <v>33900</v>
      </c>
      <c r="E366" t="s">
        <v>8</v>
      </c>
      <c r="F366" t="s">
        <v>9</v>
      </c>
    </row>
    <row r="367" spans="1:6" x14ac:dyDescent="0.25">
      <c r="A367">
        <v>366</v>
      </c>
      <c r="B367" t="s">
        <v>18</v>
      </c>
      <c r="C367" t="s">
        <v>298</v>
      </c>
      <c r="D367">
        <v>16400</v>
      </c>
      <c r="E367" t="s">
        <v>8</v>
      </c>
      <c r="F367" t="s">
        <v>9</v>
      </c>
    </row>
    <row r="368" spans="1:6" x14ac:dyDescent="0.25">
      <c r="A368">
        <v>367</v>
      </c>
      <c r="B368" t="s">
        <v>76</v>
      </c>
      <c r="C368" t="s">
        <v>299</v>
      </c>
      <c r="D368">
        <v>21600</v>
      </c>
      <c r="E368" t="s">
        <v>8</v>
      </c>
      <c r="F368" t="s">
        <v>9</v>
      </c>
    </row>
    <row r="369" spans="1:6" x14ac:dyDescent="0.25">
      <c r="A369">
        <v>368</v>
      </c>
      <c r="B369" t="s">
        <v>257</v>
      </c>
      <c r="C369" t="s">
        <v>300</v>
      </c>
      <c r="D369">
        <v>29700</v>
      </c>
      <c r="E369" t="s">
        <v>8</v>
      </c>
      <c r="F369" t="s">
        <v>9</v>
      </c>
    </row>
    <row r="370" spans="1:6" x14ac:dyDescent="0.25">
      <c r="A370">
        <v>369</v>
      </c>
      <c r="B370" t="s">
        <v>334</v>
      </c>
      <c r="C370" t="s">
        <v>301</v>
      </c>
      <c r="D370">
        <v>50600</v>
      </c>
      <c r="E370" t="s">
        <v>8</v>
      </c>
      <c r="F370" t="s">
        <v>9</v>
      </c>
    </row>
    <row r="371" spans="1:6" x14ac:dyDescent="0.25">
      <c r="A371">
        <v>370</v>
      </c>
      <c r="B371" t="s">
        <v>61</v>
      </c>
      <c r="C371" t="s">
        <v>303</v>
      </c>
      <c r="D371">
        <v>125600</v>
      </c>
      <c r="E371" t="s">
        <v>8</v>
      </c>
      <c r="F371" t="s">
        <v>9</v>
      </c>
    </row>
    <row r="372" spans="1:6" x14ac:dyDescent="0.25">
      <c r="A372">
        <v>371</v>
      </c>
      <c r="B372" t="s">
        <v>37</v>
      </c>
      <c r="C372" t="s">
        <v>304</v>
      </c>
      <c r="D372">
        <v>10000</v>
      </c>
      <c r="E372" t="s">
        <v>8</v>
      </c>
      <c r="F372" t="s">
        <v>9</v>
      </c>
    </row>
    <row r="373" spans="1:6" x14ac:dyDescent="0.25">
      <c r="A373">
        <v>372</v>
      </c>
      <c r="B373" t="s">
        <v>12</v>
      </c>
      <c r="C373" t="s">
        <v>305</v>
      </c>
      <c r="D373">
        <v>34400</v>
      </c>
      <c r="E373" t="s">
        <v>8</v>
      </c>
      <c r="F373" t="s">
        <v>20</v>
      </c>
    </row>
    <row r="374" spans="1:6" x14ac:dyDescent="0.25">
      <c r="A374">
        <v>373</v>
      </c>
      <c r="B374" t="s">
        <v>329</v>
      </c>
      <c r="C374" t="s">
        <v>293</v>
      </c>
      <c r="D374">
        <v>50900</v>
      </c>
      <c r="E374" t="s">
        <v>8</v>
      </c>
      <c r="F374" t="s">
        <v>9</v>
      </c>
    </row>
    <row r="375" spans="1:6" x14ac:dyDescent="0.25">
      <c r="A375">
        <v>374</v>
      </c>
      <c r="B375" t="s">
        <v>314</v>
      </c>
      <c r="C375" t="s">
        <v>294</v>
      </c>
      <c r="D375">
        <v>18400</v>
      </c>
      <c r="E375" t="s">
        <v>8</v>
      </c>
      <c r="F375" t="s">
        <v>9</v>
      </c>
    </row>
    <row r="376" spans="1:6" x14ac:dyDescent="0.25">
      <c r="A376">
        <v>375</v>
      </c>
      <c r="B376" t="s">
        <v>342</v>
      </c>
      <c r="C376" t="s">
        <v>295</v>
      </c>
      <c r="D376">
        <v>60600</v>
      </c>
      <c r="E376" t="s">
        <v>8</v>
      </c>
      <c r="F376" t="s">
        <v>9</v>
      </c>
    </row>
    <row r="377" spans="1:6" x14ac:dyDescent="0.25">
      <c r="A377">
        <v>376</v>
      </c>
      <c r="B377" t="s">
        <v>169</v>
      </c>
      <c r="C377" t="s">
        <v>296</v>
      </c>
      <c r="D377">
        <v>27900</v>
      </c>
      <c r="E377" t="s">
        <v>8</v>
      </c>
      <c r="F377" t="s">
        <v>9</v>
      </c>
    </row>
    <row r="378" spans="1:6" x14ac:dyDescent="0.25">
      <c r="A378">
        <v>377</v>
      </c>
      <c r="B378" t="s">
        <v>65</v>
      </c>
      <c r="C378" t="s">
        <v>297</v>
      </c>
      <c r="D378">
        <v>55600</v>
      </c>
      <c r="E378" t="s">
        <v>38</v>
      </c>
      <c r="F378" t="s">
        <v>20</v>
      </c>
    </row>
    <row r="379" spans="1:6" x14ac:dyDescent="0.25">
      <c r="A379">
        <v>378</v>
      </c>
      <c r="B379" t="s">
        <v>198</v>
      </c>
      <c r="C379" t="s">
        <v>298</v>
      </c>
      <c r="D379">
        <v>48400</v>
      </c>
      <c r="E379" t="s">
        <v>8</v>
      </c>
      <c r="F379" t="s">
        <v>9</v>
      </c>
    </row>
    <row r="380" spans="1:6" x14ac:dyDescent="0.25">
      <c r="A380">
        <v>379</v>
      </c>
      <c r="B380" t="s">
        <v>78</v>
      </c>
      <c r="C380" t="s">
        <v>299</v>
      </c>
      <c r="D380">
        <v>75700</v>
      </c>
      <c r="E380" t="s">
        <v>23</v>
      </c>
      <c r="F380" t="s">
        <v>9</v>
      </c>
    </row>
    <row r="381" spans="1:6" x14ac:dyDescent="0.25">
      <c r="A381">
        <v>380</v>
      </c>
      <c r="B381" t="s">
        <v>32</v>
      </c>
      <c r="C381" t="s">
        <v>300</v>
      </c>
      <c r="D381">
        <v>25800</v>
      </c>
      <c r="E381" t="s">
        <v>8</v>
      </c>
      <c r="F381" t="s">
        <v>9</v>
      </c>
    </row>
    <row r="382" spans="1:6" x14ac:dyDescent="0.25">
      <c r="A382">
        <v>381</v>
      </c>
      <c r="B382" t="s">
        <v>308</v>
      </c>
      <c r="C382" t="s">
        <v>301</v>
      </c>
      <c r="D382">
        <v>6400</v>
      </c>
      <c r="E382" t="s">
        <v>8</v>
      </c>
      <c r="F382" t="s">
        <v>9</v>
      </c>
    </row>
    <row r="383" spans="1:6" x14ac:dyDescent="0.25">
      <c r="A383">
        <v>382</v>
      </c>
      <c r="B383" t="s">
        <v>236</v>
      </c>
      <c r="C383" t="s">
        <v>303</v>
      </c>
      <c r="D383">
        <v>12300</v>
      </c>
      <c r="E383" t="s">
        <v>23</v>
      </c>
      <c r="F383" t="s">
        <v>9</v>
      </c>
    </row>
    <row r="384" spans="1:6" x14ac:dyDescent="0.25">
      <c r="A384">
        <v>383</v>
      </c>
      <c r="B384" t="s">
        <v>246</v>
      </c>
      <c r="C384" t="s">
        <v>304</v>
      </c>
      <c r="D384">
        <v>54500</v>
      </c>
      <c r="E384" t="s">
        <v>8</v>
      </c>
      <c r="F384" t="s">
        <v>9</v>
      </c>
    </row>
    <row r="385" spans="1:6" x14ac:dyDescent="0.25">
      <c r="A385">
        <v>384</v>
      </c>
      <c r="B385" t="s">
        <v>289</v>
      </c>
      <c r="C385" t="s">
        <v>305</v>
      </c>
      <c r="D385">
        <v>53600</v>
      </c>
      <c r="E385" t="s">
        <v>8</v>
      </c>
      <c r="F385" t="s">
        <v>9</v>
      </c>
    </row>
    <row r="386" spans="1:6" x14ac:dyDescent="0.25">
      <c r="A386">
        <v>385</v>
      </c>
      <c r="B386" t="s">
        <v>58</v>
      </c>
      <c r="C386" t="s">
        <v>293</v>
      </c>
      <c r="D386">
        <v>31000</v>
      </c>
      <c r="E386" t="s">
        <v>8</v>
      </c>
      <c r="F386" t="s">
        <v>9</v>
      </c>
    </row>
    <row r="387" spans="1:6" x14ac:dyDescent="0.25">
      <c r="A387">
        <v>386</v>
      </c>
      <c r="B387" t="s">
        <v>75</v>
      </c>
      <c r="C387" t="s">
        <v>294</v>
      </c>
      <c r="D387">
        <v>48400</v>
      </c>
      <c r="E387" t="s">
        <v>8</v>
      </c>
      <c r="F387" t="s">
        <v>9</v>
      </c>
    </row>
    <row r="388" spans="1:6" x14ac:dyDescent="0.25">
      <c r="A388">
        <v>387</v>
      </c>
      <c r="B388" t="s">
        <v>289</v>
      </c>
      <c r="C388" t="s">
        <v>295</v>
      </c>
      <c r="D388">
        <v>26900</v>
      </c>
      <c r="E388" t="s">
        <v>8</v>
      </c>
      <c r="F388" t="s">
        <v>9</v>
      </c>
    </row>
    <row r="389" spans="1:6" x14ac:dyDescent="0.25">
      <c r="A389">
        <v>388</v>
      </c>
      <c r="B389" t="s">
        <v>127</v>
      </c>
      <c r="C389" t="s">
        <v>296</v>
      </c>
      <c r="D389">
        <v>48300</v>
      </c>
      <c r="E389" t="s">
        <v>8</v>
      </c>
      <c r="F389" t="s">
        <v>9</v>
      </c>
    </row>
    <row r="390" spans="1:6" x14ac:dyDescent="0.25">
      <c r="A390">
        <v>389</v>
      </c>
      <c r="B390" t="s">
        <v>146</v>
      </c>
      <c r="C390" t="s">
        <v>297</v>
      </c>
      <c r="D390">
        <v>78400</v>
      </c>
      <c r="E390" t="s">
        <v>8</v>
      </c>
      <c r="F390" t="s">
        <v>9</v>
      </c>
    </row>
    <row r="391" spans="1:6" x14ac:dyDescent="0.25">
      <c r="A391">
        <v>390</v>
      </c>
      <c r="B391" t="s">
        <v>366</v>
      </c>
      <c r="C391" t="s">
        <v>298</v>
      </c>
      <c r="D391">
        <v>21100</v>
      </c>
      <c r="E391" t="s">
        <v>8</v>
      </c>
      <c r="F391" t="s">
        <v>9</v>
      </c>
    </row>
    <row r="392" spans="1:6" x14ac:dyDescent="0.25">
      <c r="A392">
        <v>391</v>
      </c>
      <c r="B392" t="s">
        <v>143</v>
      </c>
      <c r="C392" t="s">
        <v>299</v>
      </c>
      <c r="D392">
        <v>40000</v>
      </c>
      <c r="E392" t="s">
        <v>38</v>
      </c>
      <c r="F392" t="s">
        <v>20</v>
      </c>
    </row>
    <row r="393" spans="1:6" x14ac:dyDescent="0.25">
      <c r="A393">
        <v>392</v>
      </c>
      <c r="B393" t="s">
        <v>262</v>
      </c>
      <c r="C393" t="s">
        <v>300</v>
      </c>
      <c r="D393">
        <v>39800</v>
      </c>
      <c r="E393" t="s">
        <v>8</v>
      </c>
      <c r="F393" t="s">
        <v>9</v>
      </c>
    </row>
    <row r="394" spans="1:6" x14ac:dyDescent="0.25">
      <c r="A394">
        <v>393</v>
      </c>
      <c r="B394" t="s">
        <v>59</v>
      </c>
      <c r="C394" t="s">
        <v>301</v>
      </c>
      <c r="D394">
        <v>19600</v>
      </c>
      <c r="E394" t="s">
        <v>8</v>
      </c>
      <c r="F394" t="s">
        <v>9</v>
      </c>
    </row>
    <row r="395" spans="1:6" x14ac:dyDescent="0.25">
      <c r="A395">
        <v>394</v>
      </c>
      <c r="B395" t="s">
        <v>187</v>
      </c>
      <c r="C395" t="s">
        <v>303</v>
      </c>
      <c r="D395">
        <v>59500</v>
      </c>
      <c r="E395" t="s">
        <v>8</v>
      </c>
      <c r="F395" t="s">
        <v>9</v>
      </c>
    </row>
    <row r="396" spans="1:6" x14ac:dyDescent="0.25">
      <c r="A396">
        <v>395</v>
      </c>
      <c r="B396" t="s">
        <v>40</v>
      </c>
      <c r="C396" t="s">
        <v>304</v>
      </c>
      <c r="D396">
        <v>146900</v>
      </c>
      <c r="E396" t="s">
        <v>8</v>
      </c>
      <c r="F396" t="s">
        <v>9</v>
      </c>
    </row>
    <row r="397" spans="1:6" x14ac:dyDescent="0.25">
      <c r="A397">
        <v>396</v>
      </c>
      <c r="B397" t="s">
        <v>58</v>
      </c>
      <c r="C397" t="s">
        <v>305</v>
      </c>
      <c r="D397">
        <v>33100</v>
      </c>
      <c r="E397" t="s">
        <v>8</v>
      </c>
      <c r="F397" t="s">
        <v>9</v>
      </c>
    </row>
    <row r="398" spans="1:6" x14ac:dyDescent="0.25">
      <c r="A398">
        <v>397</v>
      </c>
      <c r="B398" t="s">
        <v>80</v>
      </c>
      <c r="C398" t="s">
        <v>293</v>
      </c>
      <c r="D398">
        <v>150400</v>
      </c>
      <c r="E398" t="s">
        <v>8</v>
      </c>
      <c r="F398" t="s">
        <v>9</v>
      </c>
    </row>
    <row r="399" spans="1:6" x14ac:dyDescent="0.25">
      <c r="A399">
        <v>398</v>
      </c>
      <c r="B399" t="s">
        <v>78</v>
      </c>
      <c r="C399" t="s">
        <v>294</v>
      </c>
      <c r="D399">
        <v>51500</v>
      </c>
      <c r="E399" t="s">
        <v>8</v>
      </c>
      <c r="F399" t="s">
        <v>9</v>
      </c>
    </row>
    <row r="400" spans="1:6" x14ac:dyDescent="0.25">
      <c r="A400">
        <v>399</v>
      </c>
      <c r="B400" t="s">
        <v>124</v>
      </c>
      <c r="C400" t="s">
        <v>295</v>
      </c>
      <c r="D400">
        <v>42600</v>
      </c>
      <c r="E400" t="s">
        <v>8</v>
      </c>
      <c r="F400" t="s">
        <v>9</v>
      </c>
    </row>
    <row r="401" spans="1:6" x14ac:dyDescent="0.25">
      <c r="A401">
        <v>400</v>
      </c>
      <c r="B401" t="s">
        <v>316</v>
      </c>
      <c r="C401" t="s">
        <v>296</v>
      </c>
      <c r="D401">
        <v>66900</v>
      </c>
      <c r="E401" t="s">
        <v>8</v>
      </c>
      <c r="F401" t="s">
        <v>9</v>
      </c>
    </row>
    <row r="402" spans="1:6" x14ac:dyDescent="0.25">
      <c r="A402">
        <v>401</v>
      </c>
      <c r="B402" t="s">
        <v>277</v>
      </c>
      <c r="C402" t="s">
        <v>297</v>
      </c>
      <c r="D402">
        <v>33400</v>
      </c>
      <c r="E402" t="s">
        <v>23</v>
      </c>
      <c r="F402" t="s">
        <v>9</v>
      </c>
    </row>
    <row r="403" spans="1:6" x14ac:dyDescent="0.25">
      <c r="A403">
        <v>402</v>
      </c>
      <c r="B403" t="s">
        <v>343</v>
      </c>
      <c r="C403" t="s">
        <v>298</v>
      </c>
      <c r="D403">
        <v>33000</v>
      </c>
      <c r="E403" t="s">
        <v>23</v>
      </c>
      <c r="F403" t="s">
        <v>9</v>
      </c>
    </row>
    <row r="404" spans="1:6" x14ac:dyDescent="0.25">
      <c r="A404">
        <v>403</v>
      </c>
      <c r="B404" t="s">
        <v>199</v>
      </c>
      <c r="C404" t="s">
        <v>299</v>
      </c>
      <c r="D404">
        <v>17800</v>
      </c>
      <c r="E404" t="s">
        <v>38</v>
      </c>
      <c r="F404" t="s">
        <v>9</v>
      </c>
    </row>
    <row r="405" spans="1:6" x14ac:dyDescent="0.25">
      <c r="A405">
        <v>404</v>
      </c>
      <c r="B405" t="s">
        <v>367</v>
      </c>
      <c r="C405" t="s">
        <v>300</v>
      </c>
      <c r="D405">
        <v>21400</v>
      </c>
      <c r="E405" t="s">
        <v>8</v>
      </c>
      <c r="F405" t="s">
        <v>9</v>
      </c>
    </row>
    <row r="406" spans="1:6" x14ac:dyDescent="0.25">
      <c r="A406">
        <v>405</v>
      </c>
      <c r="B406" t="s">
        <v>253</v>
      </c>
      <c r="C406" t="s">
        <v>301</v>
      </c>
      <c r="D406">
        <v>34800</v>
      </c>
      <c r="E406" t="s">
        <v>23</v>
      </c>
      <c r="F406" t="s">
        <v>9</v>
      </c>
    </row>
    <row r="407" spans="1:6" x14ac:dyDescent="0.25">
      <c r="A407">
        <v>406</v>
      </c>
      <c r="B407" t="s">
        <v>266</v>
      </c>
      <c r="C407" t="s">
        <v>303</v>
      </c>
      <c r="D407">
        <v>65300</v>
      </c>
      <c r="E407" t="s">
        <v>8</v>
      </c>
      <c r="F407" t="s">
        <v>9</v>
      </c>
    </row>
    <row r="408" spans="1:6" x14ac:dyDescent="0.25">
      <c r="A408">
        <v>407</v>
      </c>
      <c r="B408" t="s">
        <v>177</v>
      </c>
      <c r="C408" t="s">
        <v>304</v>
      </c>
      <c r="D408">
        <v>59700</v>
      </c>
      <c r="E408" t="s">
        <v>8</v>
      </c>
      <c r="F408" t="s">
        <v>9</v>
      </c>
    </row>
    <row r="409" spans="1:6" x14ac:dyDescent="0.25">
      <c r="A409">
        <v>408</v>
      </c>
      <c r="B409" t="s">
        <v>87</v>
      </c>
      <c r="C409" t="s">
        <v>305</v>
      </c>
      <c r="D409">
        <v>22600</v>
      </c>
      <c r="E409" t="s">
        <v>38</v>
      </c>
      <c r="F409" t="s">
        <v>20</v>
      </c>
    </row>
    <row r="410" spans="1:6" x14ac:dyDescent="0.25">
      <c r="A410">
        <v>409</v>
      </c>
      <c r="B410" t="s">
        <v>339</v>
      </c>
      <c r="C410" t="s">
        <v>293</v>
      </c>
      <c r="D410">
        <v>32100</v>
      </c>
      <c r="E410" t="s">
        <v>8</v>
      </c>
      <c r="F410" t="s">
        <v>9</v>
      </c>
    </row>
    <row r="411" spans="1:6" x14ac:dyDescent="0.25">
      <c r="A411">
        <v>410</v>
      </c>
      <c r="B411" t="s">
        <v>313</v>
      </c>
      <c r="C411" t="s">
        <v>294</v>
      </c>
      <c r="D411">
        <v>18800</v>
      </c>
      <c r="E411" t="s">
        <v>8</v>
      </c>
      <c r="F411" t="s">
        <v>9</v>
      </c>
    </row>
    <row r="412" spans="1:6" x14ac:dyDescent="0.25">
      <c r="A412">
        <v>411</v>
      </c>
      <c r="B412" t="s">
        <v>170</v>
      </c>
      <c r="C412" t="s">
        <v>295</v>
      </c>
      <c r="D412">
        <v>13000</v>
      </c>
      <c r="E412" t="s">
        <v>8</v>
      </c>
      <c r="F412" t="s">
        <v>9</v>
      </c>
    </row>
    <row r="413" spans="1:6" x14ac:dyDescent="0.25">
      <c r="A413">
        <v>412</v>
      </c>
      <c r="B413" t="s">
        <v>209</v>
      </c>
      <c r="C413" t="s">
        <v>296</v>
      </c>
      <c r="D413">
        <v>44100</v>
      </c>
      <c r="E413" t="s">
        <v>8</v>
      </c>
      <c r="F413" t="s">
        <v>9</v>
      </c>
    </row>
    <row r="414" spans="1:6" x14ac:dyDescent="0.25">
      <c r="A414">
        <v>413</v>
      </c>
      <c r="B414" t="s">
        <v>219</v>
      </c>
      <c r="C414" t="s">
        <v>297</v>
      </c>
      <c r="D414">
        <v>40800</v>
      </c>
      <c r="E414" t="s">
        <v>8</v>
      </c>
      <c r="F414" t="s">
        <v>9</v>
      </c>
    </row>
    <row r="415" spans="1:6" x14ac:dyDescent="0.25">
      <c r="A415">
        <v>414</v>
      </c>
      <c r="B415" t="s">
        <v>330</v>
      </c>
      <c r="C415" t="s">
        <v>298</v>
      </c>
      <c r="D415">
        <v>61500</v>
      </c>
      <c r="E415" t="s">
        <v>23</v>
      </c>
      <c r="F415" t="s">
        <v>9</v>
      </c>
    </row>
    <row r="416" spans="1:6" x14ac:dyDescent="0.25">
      <c r="A416">
        <v>415</v>
      </c>
      <c r="B416" t="s">
        <v>72</v>
      </c>
      <c r="C416" t="s">
        <v>299</v>
      </c>
      <c r="D416">
        <v>35300</v>
      </c>
      <c r="E416" t="s">
        <v>8</v>
      </c>
      <c r="F416" t="s">
        <v>9</v>
      </c>
    </row>
    <row r="417" spans="1:6" x14ac:dyDescent="0.25">
      <c r="A417">
        <v>416</v>
      </c>
      <c r="B417" t="s">
        <v>21</v>
      </c>
      <c r="C417" t="s">
        <v>300</v>
      </c>
      <c r="D417">
        <v>82800</v>
      </c>
      <c r="E417" t="s">
        <v>8</v>
      </c>
      <c r="F417" t="s">
        <v>9</v>
      </c>
    </row>
    <row r="418" spans="1:6" x14ac:dyDescent="0.25">
      <c r="A418">
        <v>417</v>
      </c>
      <c r="B418" t="s">
        <v>368</v>
      </c>
      <c r="C418" t="s">
        <v>301</v>
      </c>
      <c r="D418">
        <v>25200</v>
      </c>
      <c r="E418" t="s">
        <v>23</v>
      </c>
      <c r="F418" t="s">
        <v>9</v>
      </c>
    </row>
    <row r="419" spans="1:6" x14ac:dyDescent="0.25">
      <c r="A419">
        <v>418</v>
      </c>
      <c r="B419" t="s">
        <v>122</v>
      </c>
      <c r="C419" t="s">
        <v>303</v>
      </c>
      <c r="D419">
        <v>27000</v>
      </c>
      <c r="E419" t="s">
        <v>8</v>
      </c>
      <c r="F419" t="s">
        <v>9</v>
      </c>
    </row>
    <row r="420" spans="1:6" x14ac:dyDescent="0.25">
      <c r="A420">
        <v>419</v>
      </c>
      <c r="B420" t="s">
        <v>369</v>
      </c>
      <c r="C420" t="s">
        <v>304</v>
      </c>
      <c r="D420">
        <v>43000</v>
      </c>
      <c r="E420" t="s">
        <v>8</v>
      </c>
      <c r="F420" t="s">
        <v>9</v>
      </c>
    </row>
    <row r="421" spans="1:6" x14ac:dyDescent="0.25">
      <c r="A421">
        <v>420</v>
      </c>
      <c r="B421" t="s">
        <v>186</v>
      </c>
      <c r="C421" t="s">
        <v>305</v>
      </c>
      <c r="D421">
        <v>77000</v>
      </c>
      <c r="E421" t="s">
        <v>8</v>
      </c>
      <c r="F421" t="s">
        <v>9</v>
      </c>
    </row>
    <row r="422" spans="1:6" x14ac:dyDescent="0.25">
      <c r="A422">
        <v>421</v>
      </c>
      <c r="B422" t="s">
        <v>370</v>
      </c>
      <c r="C422" t="s">
        <v>293</v>
      </c>
      <c r="D422">
        <v>62400</v>
      </c>
      <c r="E422" t="s">
        <v>23</v>
      </c>
      <c r="F422" t="s">
        <v>9</v>
      </c>
    </row>
    <row r="423" spans="1:6" x14ac:dyDescent="0.25">
      <c r="A423">
        <v>422</v>
      </c>
      <c r="B423" t="s">
        <v>283</v>
      </c>
      <c r="C423" t="s">
        <v>294</v>
      </c>
      <c r="D423">
        <v>33400</v>
      </c>
      <c r="E423" t="s">
        <v>8</v>
      </c>
      <c r="F423" t="s">
        <v>9</v>
      </c>
    </row>
    <row r="424" spans="1:6" x14ac:dyDescent="0.25">
      <c r="A424">
        <v>423</v>
      </c>
      <c r="B424" t="s">
        <v>358</v>
      </c>
      <c r="C424" t="s">
        <v>295</v>
      </c>
      <c r="D424">
        <v>53200</v>
      </c>
      <c r="E424" t="s">
        <v>8</v>
      </c>
      <c r="F424" t="s">
        <v>9</v>
      </c>
    </row>
    <row r="425" spans="1:6" x14ac:dyDescent="0.25">
      <c r="A425">
        <v>424</v>
      </c>
      <c r="B425" t="s">
        <v>326</v>
      </c>
      <c r="C425" t="s">
        <v>296</v>
      </c>
      <c r="D425">
        <v>88500</v>
      </c>
      <c r="E425" t="s">
        <v>8</v>
      </c>
      <c r="F425" t="s">
        <v>9</v>
      </c>
    </row>
    <row r="426" spans="1:6" x14ac:dyDescent="0.25">
      <c r="A426">
        <v>425</v>
      </c>
      <c r="B426" t="s">
        <v>198</v>
      </c>
      <c r="C426" t="s">
        <v>297</v>
      </c>
      <c r="D426">
        <v>69200</v>
      </c>
      <c r="E426" t="s">
        <v>8</v>
      </c>
      <c r="F426" t="s">
        <v>9</v>
      </c>
    </row>
    <row r="427" spans="1:6" x14ac:dyDescent="0.25">
      <c r="A427">
        <v>426</v>
      </c>
      <c r="B427" t="s">
        <v>134</v>
      </c>
      <c r="C427" t="s">
        <v>298</v>
      </c>
      <c r="D427">
        <v>12000</v>
      </c>
      <c r="E427" t="s">
        <v>23</v>
      </c>
      <c r="F427" t="s">
        <v>9</v>
      </c>
    </row>
    <row r="428" spans="1:6" x14ac:dyDescent="0.25">
      <c r="A428">
        <v>427</v>
      </c>
      <c r="B428" t="s">
        <v>105</v>
      </c>
      <c r="C428" t="s">
        <v>299</v>
      </c>
      <c r="D428">
        <v>127500</v>
      </c>
      <c r="E428" t="s">
        <v>8</v>
      </c>
      <c r="F428" t="s">
        <v>9</v>
      </c>
    </row>
    <row r="429" spans="1:6" x14ac:dyDescent="0.25">
      <c r="A429">
        <v>428</v>
      </c>
      <c r="B429" t="s">
        <v>309</v>
      </c>
      <c r="C429" t="s">
        <v>300</v>
      </c>
      <c r="D429">
        <v>34500</v>
      </c>
      <c r="E429" t="s">
        <v>8</v>
      </c>
      <c r="F429" t="s">
        <v>9</v>
      </c>
    </row>
    <row r="430" spans="1:6" x14ac:dyDescent="0.25">
      <c r="A430">
        <v>429</v>
      </c>
      <c r="B430" t="s">
        <v>196</v>
      </c>
      <c r="C430" t="s">
        <v>301</v>
      </c>
      <c r="D430">
        <v>61300</v>
      </c>
      <c r="E430" t="s">
        <v>8</v>
      </c>
      <c r="F430" t="s">
        <v>9</v>
      </c>
    </row>
    <row r="431" spans="1:6" x14ac:dyDescent="0.25">
      <c r="A431">
        <v>430</v>
      </c>
      <c r="B431" t="s">
        <v>172</v>
      </c>
      <c r="C431" t="s">
        <v>303</v>
      </c>
      <c r="D431">
        <v>31500</v>
      </c>
      <c r="E431" t="s">
        <v>38</v>
      </c>
      <c r="F431" t="s">
        <v>20</v>
      </c>
    </row>
    <row r="432" spans="1:6" x14ac:dyDescent="0.25">
      <c r="A432">
        <v>431</v>
      </c>
      <c r="B432" t="s">
        <v>87</v>
      </c>
      <c r="C432" t="s">
        <v>304</v>
      </c>
      <c r="D432">
        <v>27900</v>
      </c>
      <c r="E432" t="s">
        <v>8</v>
      </c>
      <c r="F432" t="s">
        <v>20</v>
      </c>
    </row>
    <row r="433" spans="1:6" x14ac:dyDescent="0.25">
      <c r="A433">
        <v>432</v>
      </c>
      <c r="B433" t="s">
        <v>217</v>
      </c>
      <c r="C433" t="s">
        <v>305</v>
      </c>
      <c r="D433">
        <v>49800</v>
      </c>
      <c r="E433" t="s">
        <v>23</v>
      </c>
      <c r="F433" t="s">
        <v>9</v>
      </c>
    </row>
    <row r="434" spans="1:6" x14ac:dyDescent="0.25">
      <c r="A434">
        <v>433</v>
      </c>
      <c r="B434" t="s">
        <v>213</v>
      </c>
      <c r="C434" t="s">
        <v>298</v>
      </c>
      <c r="D434">
        <v>0</v>
      </c>
      <c r="E434" t="s">
        <v>8</v>
      </c>
      <c r="F434" t="s">
        <v>9</v>
      </c>
    </row>
    <row r="435" spans="1:6" x14ac:dyDescent="0.25">
      <c r="A435">
        <v>434</v>
      </c>
      <c r="B435" t="s">
        <v>339</v>
      </c>
      <c r="C435" t="s">
        <v>294</v>
      </c>
      <c r="D435">
        <v>68200</v>
      </c>
      <c r="E435" t="s">
        <v>8</v>
      </c>
      <c r="F435" t="s">
        <v>9</v>
      </c>
    </row>
    <row r="436" spans="1:6" x14ac:dyDescent="0.25">
      <c r="A436">
        <v>435</v>
      </c>
      <c r="B436" t="s">
        <v>277</v>
      </c>
      <c r="C436" t="s">
        <v>295</v>
      </c>
      <c r="D436">
        <v>15900</v>
      </c>
      <c r="E436" t="s">
        <v>8</v>
      </c>
      <c r="F436" t="s">
        <v>9</v>
      </c>
    </row>
    <row r="437" spans="1:6" x14ac:dyDescent="0.25">
      <c r="A437">
        <v>436</v>
      </c>
      <c r="B437" t="s">
        <v>45</v>
      </c>
      <c r="C437" t="s">
        <v>296</v>
      </c>
      <c r="D437">
        <v>46400</v>
      </c>
      <c r="E437" t="s">
        <v>8</v>
      </c>
      <c r="F437" t="s">
        <v>9</v>
      </c>
    </row>
    <row r="438" spans="1:6" x14ac:dyDescent="0.25">
      <c r="A438">
        <v>437</v>
      </c>
      <c r="B438" t="s">
        <v>100</v>
      </c>
      <c r="C438" t="s">
        <v>297</v>
      </c>
      <c r="D438">
        <v>55900</v>
      </c>
      <c r="E438" t="s">
        <v>8</v>
      </c>
      <c r="F438" t="s">
        <v>9</v>
      </c>
    </row>
    <row r="439" spans="1:6" x14ac:dyDescent="0.25">
      <c r="A439">
        <v>438</v>
      </c>
      <c r="B439" t="s">
        <v>138</v>
      </c>
      <c r="C439" t="s">
        <v>298</v>
      </c>
      <c r="D439">
        <v>109300</v>
      </c>
      <c r="E439" t="s">
        <v>8</v>
      </c>
      <c r="F439" t="s">
        <v>9</v>
      </c>
    </row>
    <row r="440" spans="1:6" x14ac:dyDescent="0.25">
      <c r="A440">
        <v>439</v>
      </c>
      <c r="B440" t="s">
        <v>30</v>
      </c>
      <c r="C440" t="s">
        <v>299</v>
      </c>
      <c r="D440">
        <v>7900</v>
      </c>
      <c r="E440" t="s">
        <v>8</v>
      </c>
      <c r="F440" t="s">
        <v>20</v>
      </c>
    </row>
    <row r="441" spans="1:6" x14ac:dyDescent="0.25">
      <c r="A441">
        <v>440</v>
      </c>
      <c r="B441" t="s">
        <v>337</v>
      </c>
      <c r="C441" t="s">
        <v>293</v>
      </c>
      <c r="D441">
        <v>450000</v>
      </c>
      <c r="E441" t="s">
        <v>23</v>
      </c>
      <c r="F441" t="s">
        <v>9</v>
      </c>
    </row>
    <row r="442" spans="1:6" x14ac:dyDescent="0.25">
      <c r="A442">
        <v>441</v>
      </c>
      <c r="B442" t="s">
        <v>310</v>
      </c>
      <c r="C442" t="s">
        <v>301</v>
      </c>
      <c r="D442">
        <v>52700</v>
      </c>
      <c r="E442" t="s">
        <v>23</v>
      </c>
      <c r="F442" t="s">
        <v>9</v>
      </c>
    </row>
    <row r="443" spans="1:6" x14ac:dyDescent="0.25">
      <c r="A443">
        <v>442</v>
      </c>
      <c r="B443" t="s">
        <v>142</v>
      </c>
      <c r="C443" t="s">
        <v>303</v>
      </c>
      <c r="D443">
        <v>18700</v>
      </c>
      <c r="E443" t="s">
        <v>8</v>
      </c>
      <c r="F443" t="s">
        <v>9</v>
      </c>
    </row>
    <row r="444" spans="1:6" x14ac:dyDescent="0.25">
      <c r="A444">
        <v>443</v>
      </c>
      <c r="B444" t="s">
        <v>371</v>
      </c>
      <c r="C444" t="s">
        <v>304</v>
      </c>
      <c r="D444">
        <v>68300</v>
      </c>
      <c r="E444" t="s">
        <v>8</v>
      </c>
      <c r="F444" t="s">
        <v>9</v>
      </c>
    </row>
    <row r="445" spans="1:6" x14ac:dyDescent="0.25">
      <c r="A445">
        <v>444</v>
      </c>
      <c r="B445" t="s">
        <v>271</v>
      </c>
      <c r="C445" t="s">
        <v>305</v>
      </c>
      <c r="D445">
        <v>26600</v>
      </c>
      <c r="E445" t="s">
        <v>8</v>
      </c>
      <c r="F445" t="s">
        <v>9</v>
      </c>
    </row>
    <row r="446" spans="1:6" x14ac:dyDescent="0.25">
      <c r="A446">
        <v>445</v>
      </c>
      <c r="B446" t="s">
        <v>246</v>
      </c>
      <c r="C446" t="s">
        <v>293</v>
      </c>
      <c r="D446">
        <v>15000</v>
      </c>
      <c r="E446" t="s">
        <v>8</v>
      </c>
      <c r="F446" t="s">
        <v>9</v>
      </c>
    </row>
    <row r="447" spans="1:6" x14ac:dyDescent="0.25">
      <c r="A447">
        <v>446</v>
      </c>
      <c r="B447" t="s">
        <v>237</v>
      </c>
      <c r="C447" t="s">
        <v>294</v>
      </c>
      <c r="D447">
        <v>27400</v>
      </c>
      <c r="E447" t="s">
        <v>8</v>
      </c>
      <c r="F447" t="s">
        <v>9</v>
      </c>
    </row>
    <row r="448" spans="1:6" x14ac:dyDescent="0.25">
      <c r="A448">
        <v>447</v>
      </c>
      <c r="B448" t="s">
        <v>262</v>
      </c>
      <c r="C448" t="s">
        <v>295</v>
      </c>
      <c r="D448">
        <v>32000</v>
      </c>
      <c r="E448" t="s">
        <v>8</v>
      </c>
      <c r="F448" t="s">
        <v>9</v>
      </c>
    </row>
    <row r="449" spans="1:6" x14ac:dyDescent="0.25">
      <c r="A449">
        <v>448</v>
      </c>
      <c r="B449" t="s">
        <v>60</v>
      </c>
      <c r="C449" t="s">
        <v>296</v>
      </c>
      <c r="D449">
        <v>28700</v>
      </c>
      <c r="E449" t="s">
        <v>8</v>
      </c>
      <c r="F449" t="s">
        <v>9</v>
      </c>
    </row>
    <row r="450" spans="1:6" x14ac:dyDescent="0.25">
      <c r="A450">
        <v>449</v>
      </c>
      <c r="B450" t="s">
        <v>180</v>
      </c>
      <c r="C450" t="s">
        <v>297</v>
      </c>
      <c r="D450">
        <v>52600</v>
      </c>
      <c r="E450" t="s">
        <v>38</v>
      </c>
      <c r="F450" t="s">
        <v>20</v>
      </c>
    </row>
    <row r="451" spans="1:6" x14ac:dyDescent="0.25">
      <c r="A451">
        <v>450</v>
      </c>
      <c r="B451" t="s">
        <v>307</v>
      </c>
      <c r="C451" t="s">
        <v>298</v>
      </c>
      <c r="D451">
        <v>24200</v>
      </c>
      <c r="E451" t="s">
        <v>8</v>
      </c>
      <c r="F451" t="s">
        <v>9</v>
      </c>
    </row>
    <row r="452" spans="1:6" x14ac:dyDescent="0.25">
      <c r="A452">
        <v>451</v>
      </c>
      <c r="B452" t="s">
        <v>342</v>
      </c>
      <c r="C452" t="s">
        <v>299</v>
      </c>
      <c r="D452">
        <v>69400</v>
      </c>
      <c r="E452" t="s">
        <v>8</v>
      </c>
      <c r="F452" t="s">
        <v>9</v>
      </c>
    </row>
    <row r="453" spans="1:6" x14ac:dyDescent="0.25">
      <c r="A453">
        <v>452</v>
      </c>
      <c r="B453" t="s">
        <v>124</v>
      </c>
      <c r="C453" t="s">
        <v>300</v>
      </c>
      <c r="D453">
        <v>11400</v>
      </c>
      <c r="E453" t="s">
        <v>8</v>
      </c>
      <c r="F453" t="s">
        <v>9</v>
      </c>
    </row>
    <row r="454" spans="1:6" x14ac:dyDescent="0.25">
      <c r="A454">
        <v>453</v>
      </c>
      <c r="B454" t="s">
        <v>325</v>
      </c>
      <c r="C454" t="s">
        <v>301</v>
      </c>
      <c r="D454">
        <v>48800</v>
      </c>
      <c r="E454" t="s">
        <v>8</v>
      </c>
      <c r="F454" t="s">
        <v>9</v>
      </c>
    </row>
    <row r="455" spans="1:6" x14ac:dyDescent="0.25">
      <c r="A455">
        <v>454</v>
      </c>
      <c r="B455" t="s">
        <v>158</v>
      </c>
      <c r="C455" t="s">
        <v>303</v>
      </c>
      <c r="D455">
        <v>31300</v>
      </c>
      <c r="E455" t="s">
        <v>8</v>
      </c>
      <c r="F455" t="s">
        <v>9</v>
      </c>
    </row>
    <row r="456" spans="1:6" x14ac:dyDescent="0.25">
      <c r="A456">
        <v>455</v>
      </c>
      <c r="B456" t="s">
        <v>330</v>
      </c>
      <c r="C456" t="s">
        <v>304</v>
      </c>
      <c r="D456">
        <v>51200</v>
      </c>
      <c r="E456" t="s">
        <v>8</v>
      </c>
      <c r="F456" t="s">
        <v>9</v>
      </c>
    </row>
    <row r="457" spans="1:6" x14ac:dyDescent="0.25">
      <c r="A457">
        <v>456</v>
      </c>
      <c r="B457" t="s">
        <v>372</v>
      </c>
      <c r="C457" t="s">
        <v>305</v>
      </c>
      <c r="D457">
        <v>56800</v>
      </c>
      <c r="E457" t="s">
        <v>8</v>
      </c>
      <c r="F457" t="s">
        <v>9</v>
      </c>
    </row>
    <row r="458" spans="1:6" x14ac:dyDescent="0.25">
      <c r="A458">
        <v>457</v>
      </c>
      <c r="B458" t="s">
        <v>68</v>
      </c>
      <c r="C458" t="s">
        <v>293</v>
      </c>
      <c r="D458">
        <v>21500</v>
      </c>
      <c r="E458" t="s">
        <v>8</v>
      </c>
      <c r="F458" t="s">
        <v>9</v>
      </c>
    </row>
    <row r="459" spans="1:6" x14ac:dyDescent="0.25">
      <c r="A459">
        <v>458</v>
      </c>
      <c r="B459" t="s">
        <v>251</v>
      </c>
      <c r="C459" t="s">
        <v>294</v>
      </c>
      <c r="D459">
        <v>29200</v>
      </c>
      <c r="E459" t="s">
        <v>8</v>
      </c>
      <c r="F459" t="s">
        <v>9</v>
      </c>
    </row>
    <row r="460" spans="1:6" x14ac:dyDescent="0.25">
      <c r="A460">
        <v>459</v>
      </c>
      <c r="B460" t="s">
        <v>353</v>
      </c>
      <c r="C460" t="s">
        <v>295</v>
      </c>
      <c r="D460">
        <v>104000</v>
      </c>
      <c r="E460" t="s">
        <v>8</v>
      </c>
      <c r="F460" t="s">
        <v>9</v>
      </c>
    </row>
    <row r="461" spans="1:6" x14ac:dyDescent="0.25">
      <c r="A461">
        <v>460</v>
      </c>
      <c r="B461" t="s">
        <v>71</v>
      </c>
      <c r="C461" t="s">
        <v>296</v>
      </c>
      <c r="D461">
        <v>83200</v>
      </c>
      <c r="E461" t="s">
        <v>8</v>
      </c>
      <c r="F461" t="s">
        <v>9</v>
      </c>
    </row>
    <row r="462" spans="1:6" x14ac:dyDescent="0.25">
      <c r="A462">
        <v>461</v>
      </c>
      <c r="B462" t="s">
        <v>216</v>
      </c>
      <c r="C462" t="s">
        <v>297</v>
      </c>
      <c r="D462">
        <v>43000</v>
      </c>
      <c r="E462" t="s">
        <v>8</v>
      </c>
      <c r="F462" t="s">
        <v>9</v>
      </c>
    </row>
    <row r="463" spans="1:6" x14ac:dyDescent="0.25">
      <c r="A463">
        <v>462</v>
      </c>
      <c r="B463" t="s">
        <v>18</v>
      </c>
      <c r="C463" t="s">
        <v>298</v>
      </c>
      <c r="D463">
        <v>13000</v>
      </c>
      <c r="E463" t="s">
        <v>8</v>
      </c>
      <c r="F463" t="s">
        <v>9</v>
      </c>
    </row>
    <row r="464" spans="1:6" x14ac:dyDescent="0.25">
      <c r="A464">
        <v>463</v>
      </c>
      <c r="B464" t="s">
        <v>199</v>
      </c>
      <c r="C464" t="s">
        <v>299</v>
      </c>
      <c r="D464">
        <v>37900</v>
      </c>
      <c r="E464" t="s">
        <v>8</v>
      </c>
      <c r="F464" t="s">
        <v>9</v>
      </c>
    </row>
    <row r="465" spans="1:6" x14ac:dyDescent="0.25">
      <c r="A465">
        <v>464</v>
      </c>
      <c r="B465" t="s">
        <v>126</v>
      </c>
      <c r="C465" t="s">
        <v>300</v>
      </c>
      <c r="D465">
        <v>69200</v>
      </c>
      <c r="E465" t="s">
        <v>8</v>
      </c>
      <c r="F465" t="s">
        <v>9</v>
      </c>
    </row>
    <row r="466" spans="1:6" x14ac:dyDescent="0.25">
      <c r="A466">
        <v>465</v>
      </c>
      <c r="B466" t="s">
        <v>45</v>
      </c>
      <c r="C466" t="s">
        <v>301</v>
      </c>
      <c r="D466">
        <v>40400</v>
      </c>
      <c r="E466" t="s">
        <v>8</v>
      </c>
      <c r="F466" t="s">
        <v>9</v>
      </c>
    </row>
    <row r="467" spans="1:6" x14ac:dyDescent="0.25">
      <c r="A467">
        <v>466</v>
      </c>
      <c r="B467" t="s">
        <v>185</v>
      </c>
      <c r="C467" t="s">
        <v>303</v>
      </c>
      <c r="D467">
        <v>10700</v>
      </c>
      <c r="E467" t="s">
        <v>8</v>
      </c>
      <c r="F467" t="s">
        <v>9</v>
      </c>
    </row>
    <row r="468" spans="1:6" x14ac:dyDescent="0.25">
      <c r="A468">
        <v>467</v>
      </c>
      <c r="B468" t="s">
        <v>140</v>
      </c>
      <c r="C468" t="s">
        <v>304</v>
      </c>
      <c r="D468">
        <v>17800</v>
      </c>
      <c r="E468" t="s">
        <v>8</v>
      </c>
      <c r="F468" t="s">
        <v>9</v>
      </c>
    </row>
    <row r="469" spans="1:6" x14ac:dyDescent="0.25">
      <c r="A469">
        <v>468</v>
      </c>
      <c r="B469" t="s">
        <v>349</v>
      </c>
      <c r="C469" t="s">
        <v>305</v>
      </c>
      <c r="D469">
        <v>54800</v>
      </c>
      <c r="E469" t="s">
        <v>8</v>
      </c>
      <c r="F469" t="s">
        <v>9</v>
      </c>
    </row>
    <row r="470" spans="1:6" x14ac:dyDescent="0.25">
      <c r="A470">
        <v>469</v>
      </c>
      <c r="B470" t="s">
        <v>12</v>
      </c>
      <c r="C470" t="s">
        <v>293</v>
      </c>
      <c r="D470">
        <v>50300</v>
      </c>
      <c r="E470" t="s">
        <v>8</v>
      </c>
      <c r="F470" t="s">
        <v>9</v>
      </c>
    </row>
    <row r="471" spans="1:6" x14ac:dyDescent="0.25">
      <c r="A471">
        <v>470</v>
      </c>
      <c r="B471" t="s">
        <v>235</v>
      </c>
      <c r="C471" t="s">
        <v>294</v>
      </c>
      <c r="D471">
        <v>55700</v>
      </c>
      <c r="E471" t="s">
        <v>23</v>
      </c>
      <c r="F471" t="s">
        <v>9</v>
      </c>
    </row>
    <row r="472" spans="1:6" x14ac:dyDescent="0.25">
      <c r="A472">
        <v>471</v>
      </c>
      <c r="B472" t="s">
        <v>115</v>
      </c>
      <c r="C472" t="s">
        <v>295</v>
      </c>
      <c r="D472">
        <v>42400</v>
      </c>
      <c r="E472" t="s">
        <v>8</v>
      </c>
      <c r="F472" t="s">
        <v>9</v>
      </c>
    </row>
    <row r="473" spans="1:6" x14ac:dyDescent="0.25">
      <c r="A473">
        <v>472</v>
      </c>
      <c r="B473" t="s">
        <v>113</v>
      </c>
      <c r="C473" t="s">
        <v>296</v>
      </c>
      <c r="D473">
        <v>9700</v>
      </c>
      <c r="E473" t="s">
        <v>8</v>
      </c>
      <c r="F473" t="s">
        <v>9</v>
      </c>
    </row>
    <row r="474" spans="1:6" x14ac:dyDescent="0.25">
      <c r="A474">
        <v>473</v>
      </c>
      <c r="B474" t="s">
        <v>213</v>
      </c>
      <c r="C474" t="s">
        <v>297</v>
      </c>
      <c r="D474">
        <v>33700</v>
      </c>
      <c r="E474" t="s">
        <v>38</v>
      </c>
      <c r="F474" t="s">
        <v>9</v>
      </c>
    </row>
    <row r="475" spans="1:6" x14ac:dyDescent="0.25">
      <c r="A475">
        <v>474</v>
      </c>
      <c r="B475" t="s">
        <v>45</v>
      </c>
      <c r="C475" t="s">
        <v>298</v>
      </c>
      <c r="D475">
        <v>11600</v>
      </c>
      <c r="E475" t="s">
        <v>8</v>
      </c>
      <c r="F475" t="s">
        <v>9</v>
      </c>
    </row>
    <row r="476" spans="1:6" x14ac:dyDescent="0.25">
      <c r="A476">
        <v>475</v>
      </c>
      <c r="B476" t="s">
        <v>318</v>
      </c>
      <c r="C476" t="s">
        <v>299</v>
      </c>
      <c r="D476">
        <v>62900</v>
      </c>
      <c r="E476" t="s">
        <v>8</v>
      </c>
      <c r="F476" t="s">
        <v>9</v>
      </c>
    </row>
    <row r="477" spans="1:6" x14ac:dyDescent="0.25">
      <c r="A477">
        <v>476</v>
      </c>
      <c r="B477" t="s">
        <v>68</v>
      </c>
      <c r="C477" t="s">
        <v>300</v>
      </c>
      <c r="D477">
        <v>42300</v>
      </c>
      <c r="E477" t="s">
        <v>38</v>
      </c>
      <c r="F477" t="s">
        <v>20</v>
      </c>
    </row>
    <row r="478" spans="1:6" x14ac:dyDescent="0.25">
      <c r="A478">
        <v>477</v>
      </c>
      <c r="B478" t="s">
        <v>317</v>
      </c>
      <c r="C478" t="s">
        <v>301</v>
      </c>
      <c r="D478">
        <v>35400</v>
      </c>
      <c r="E478" t="s">
        <v>38</v>
      </c>
      <c r="F478" t="s">
        <v>20</v>
      </c>
    </row>
    <row r="479" spans="1:6" x14ac:dyDescent="0.25">
      <c r="A479">
        <v>478</v>
      </c>
      <c r="B479" t="s">
        <v>163</v>
      </c>
      <c r="C479" t="s">
        <v>303</v>
      </c>
      <c r="D479">
        <v>31500</v>
      </c>
      <c r="E479" t="s">
        <v>8</v>
      </c>
      <c r="F479" t="s">
        <v>9</v>
      </c>
    </row>
    <row r="480" spans="1:6" x14ac:dyDescent="0.25">
      <c r="A480">
        <v>479</v>
      </c>
      <c r="B480" t="s">
        <v>63</v>
      </c>
      <c r="C480" t="s">
        <v>304</v>
      </c>
      <c r="D480">
        <v>95800</v>
      </c>
      <c r="E480" t="s">
        <v>38</v>
      </c>
      <c r="F480" t="s">
        <v>20</v>
      </c>
    </row>
    <row r="481" spans="1:6" x14ac:dyDescent="0.25">
      <c r="A481">
        <v>480</v>
      </c>
      <c r="B481" t="s">
        <v>57</v>
      </c>
      <c r="C481" t="s">
        <v>305</v>
      </c>
      <c r="D481">
        <v>37600</v>
      </c>
      <c r="E481" t="s">
        <v>8</v>
      </c>
      <c r="F481" t="s">
        <v>9</v>
      </c>
    </row>
    <row r="482" spans="1:6" x14ac:dyDescent="0.25">
      <c r="A482">
        <v>481</v>
      </c>
      <c r="B482" t="s">
        <v>139</v>
      </c>
      <c r="C482" t="s">
        <v>293</v>
      </c>
      <c r="D482">
        <v>45800</v>
      </c>
      <c r="E482" t="s">
        <v>8</v>
      </c>
      <c r="F482" t="s">
        <v>9</v>
      </c>
    </row>
    <row r="483" spans="1:6" x14ac:dyDescent="0.25">
      <c r="A483">
        <v>482</v>
      </c>
      <c r="B483" t="s">
        <v>233</v>
      </c>
      <c r="C483" t="s">
        <v>294</v>
      </c>
      <c r="D483">
        <v>30400</v>
      </c>
      <c r="E483" t="s">
        <v>8</v>
      </c>
      <c r="F483" t="s">
        <v>9</v>
      </c>
    </row>
    <row r="484" spans="1:6" x14ac:dyDescent="0.25">
      <c r="A484">
        <v>483</v>
      </c>
      <c r="B484" t="s">
        <v>279</v>
      </c>
      <c r="C484" t="s">
        <v>295</v>
      </c>
      <c r="D484">
        <v>58100</v>
      </c>
      <c r="E484" t="s">
        <v>8</v>
      </c>
      <c r="F484" t="s">
        <v>9</v>
      </c>
    </row>
    <row r="485" spans="1:6" x14ac:dyDescent="0.25">
      <c r="A485">
        <v>484</v>
      </c>
      <c r="B485" t="s">
        <v>373</v>
      </c>
      <c r="C485" t="s">
        <v>296</v>
      </c>
      <c r="D485">
        <v>31300</v>
      </c>
      <c r="E485" t="s">
        <v>8</v>
      </c>
      <c r="F485" t="s">
        <v>9</v>
      </c>
    </row>
    <row r="486" spans="1:6" x14ac:dyDescent="0.25">
      <c r="A486">
        <v>485</v>
      </c>
      <c r="B486" t="s">
        <v>324</v>
      </c>
      <c r="C486" t="s">
        <v>297</v>
      </c>
      <c r="D486">
        <v>33700</v>
      </c>
      <c r="E486" t="s">
        <v>8</v>
      </c>
      <c r="F486" t="s">
        <v>9</v>
      </c>
    </row>
    <row r="487" spans="1:6" x14ac:dyDescent="0.25">
      <c r="A487">
        <v>486</v>
      </c>
      <c r="B487" t="s">
        <v>82</v>
      </c>
      <c r="C487" t="s">
        <v>298</v>
      </c>
      <c r="D487">
        <v>33500</v>
      </c>
      <c r="E487" t="s">
        <v>23</v>
      </c>
      <c r="F487" t="s">
        <v>9</v>
      </c>
    </row>
    <row r="488" spans="1:6" x14ac:dyDescent="0.25">
      <c r="A488">
        <v>487</v>
      </c>
      <c r="B488" t="s">
        <v>142</v>
      </c>
      <c r="C488" t="s">
        <v>299</v>
      </c>
      <c r="D488">
        <v>43200</v>
      </c>
      <c r="E488" t="s">
        <v>8</v>
      </c>
      <c r="F488" t="s">
        <v>9</v>
      </c>
    </row>
    <row r="489" spans="1:6" x14ac:dyDescent="0.25">
      <c r="A489">
        <v>488</v>
      </c>
      <c r="B489" t="s">
        <v>68</v>
      </c>
      <c r="C489" t="s">
        <v>300</v>
      </c>
      <c r="D489">
        <v>94600</v>
      </c>
      <c r="E489" t="s">
        <v>8</v>
      </c>
      <c r="F489" t="s">
        <v>9</v>
      </c>
    </row>
    <row r="490" spans="1:6" x14ac:dyDescent="0.25">
      <c r="A490">
        <v>489</v>
      </c>
      <c r="B490" t="s">
        <v>236</v>
      </c>
      <c r="C490" t="s">
        <v>301</v>
      </c>
      <c r="D490">
        <v>12900</v>
      </c>
      <c r="E490" t="s">
        <v>8</v>
      </c>
      <c r="F490" t="s">
        <v>9</v>
      </c>
    </row>
    <row r="491" spans="1:6" x14ac:dyDescent="0.25">
      <c r="A491">
        <v>490</v>
      </c>
      <c r="B491" t="s">
        <v>345</v>
      </c>
      <c r="C491" t="s">
        <v>303</v>
      </c>
      <c r="D491">
        <v>21700</v>
      </c>
      <c r="E491" t="s">
        <v>23</v>
      </c>
      <c r="F491" t="s">
        <v>9</v>
      </c>
    </row>
    <row r="492" spans="1:6" x14ac:dyDescent="0.25">
      <c r="A492">
        <v>491</v>
      </c>
      <c r="B492" t="s">
        <v>139</v>
      </c>
      <c r="C492" t="s">
        <v>304</v>
      </c>
      <c r="D492">
        <v>7200</v>
      </c>
      <c r="E492" t="s">
        <v>8</v>
      </c>
      <c r="F492" t="s">
        <v>9</v>
      </c>
    </row>
    <row r="493" spans="1:6" x14ac:dyDescent="0.25">
      <c r="A493">
        <v>492</v>
      </c>
      <c r="B493" t="s">
        <v>84</v>
      </c>
      <c r="C493" t="s">
        <v>305</v>
      </c>
      <c r="D493">
        <v>67900</v>
      </c>
      <c r="E493" t="s">
        <v>8</v>
      </c>
      <c r="F493" t="s">
        <v>9</v>
      </c>
    </row>
    <row r="494" spans="1:6" x14ac:dyDescent="0.25">
      <c r="A494">
        <v>493</v>
      </c>
      <c r="B494" t="s">
        <v>135</v>
      </c>
      <c r="C494" t="s">
        <v>294</v>
      </c>
      <c r="D494">
        <v>480000</v>
      </c>
      <c r="E494" t="s">
        <v>23</v>
      </c>
      <c r="F494" t="s">
        <v>9</v>
      </c>
    </row>
    <row r="495" spans="1:6" x14ac:dyDescent="0.25">
      <c r="A495">
        <v>494</v>
      </c>
      <c r="B495" t="s">
        <v>53</v>
      </c>
      <c r="C495" t="s">
        <v>294</v>
      </c>
      <c r="D495">
        <v>18400</v>
      </c>
      <c r="E495" t="s">
        <v>38</v>
      </c>
      <c r="F495" t="s">
        <v>20</v>
      </c>
    </row>
    <row r="496" spans="1:6" x14ac:dyDescent="0.25">
      <c r="A496">
        <v>495</v>
      </c>
      <c r="B496" t="s">
        <v>44</v>
      </c>
      <c r="C496" t="s">
        <v>295</v>
      </c>
      <c r="D496">
        <v>43700</v>
      </c>
      <c r="E496" t="s">
        <v>8</v>
      </c>
      <c r="F496" t="s">
        <v>9</v>
      </c>
    </row>
    <row r="497" spans="1:6" x14ac:dyDescent="0.25">
      <c r="A497">
        <v>496</v>
      </c>
      <c r="B497" t="s">
        <v>374</v>
      </c>
      <c r="C497" t="s">
        <v>296</v>
      </c>
      <c r="D497">
        <v>150200</v>
      </c>
      <c r="E497" t="s">
        <v>8</v>
      </c>
      <c r="F497" t="s">
        <v>9</v>
      </c>
    </row>
    <row r="498" spans="1:6" x14ac:dyDescent="0.25">
      <c r="A498">
        <v>497</v>
      </c>
      <c r="B498" t="s">
        <v>275</v>
      </c>
      <c r="C498" t="s">
        <v>297</v>
      </c>
      <c r="D498">
        <v>17800</v>
      </c>
      <c r="E498" t="s">
        <v>8</v>
      </c>
      <c r="F498" t="s">
        <v>9</v>
      </c>
    </row>
    <row r="499" spans="1:6" x14ac:dyDescent="0.25">
      <c r="A499">
        <v>498</v>
      </c>
      <c r="B499" t="s">
        <v>64</v>
      </c>
      <c r="C499" t="s">
        <v>298</v>
      </c>
      <c r="D499">
        <v>50500</v>
      </c>
      <c r="E499" t="s">
        <v>8</v>
      </c>
      <c r="F499" t="s">
        <v>9</v>
      </c>
    </row>
    <row r="500" spans="1:6" x14ac:dyDescent="0.25">
      <c r="A500">
        <v>499</v>
      </c>
      <c r="B500" t="s">
        <v>339</v>
      </c>
      <c r="C500" t="s">
        <v>299</v>
      </c>
      <c r="D500">
        <v>51600</v>
      </c>
      <c r="E500" t="s">
        <v>8</v>
      </c>
      <c r="F500" t="s">
        <v>9</v>
      </c>
    </row>
    <row r="501" spans="1:6" x14ac:dyDescent="0.25">
      <c r="A501">
        <v>500</v>
      </c>
      <c r="B501" t="s">
        <v>108</v>
      </c>
      <c r="C501" t="s">
        <v>300</v>
      </c>
      <c r="D501">
        <v>19000</v>
      </c>
      <c r="E501" t="s">
        <v>8</v>
      </c>
      <c r="F501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70</v>
      </c>
      <c r="C2" t="s">
        <v>375</v>
      </c>
      <c r="D2">
        <v>10200</v>
      </c>
      <c r="E2" t="s">
        <v>8</v>
      </c>
      <c r="F2" t="s">
        <v>20</v>
      </c>
    </row>
    <row r="3" spans="1:6" x14ac:dyDescent="0.25">
      <c r="A3">
        <v>2</v>
      </c>
      <c r="B3" t="s">
        <v>306</v>
      </c>
      <c r="C3" t="s">
        <v>376</v>
      </c>
      <c r="D3">
        <v>28000</v>
      </c>
      <c r="E3" t="s">
        <v>38</v>
      </c>
      <c r="F3" t="s">
        <v>20</v>
      </c>
    </row>
    <row r="4" spans="1:6" x14ac:dyDescent="0.25">
      <c r="A4">
        <v>3</v>
      </c>
      <c r="B4" t="s">
        <v>146</v>
      </c>
      <c r="C4" t="s">
        <v>377</v>
      </c>
      <c r="D4">
        <v>6500</v>
      </c>
      <c r="E4" t="s">
        <v>8</v>
      </c>
      <c r="F4" t="s">
        <v>9</v>
      </c>
    </row>
    <row r="5" spans="1:6" x14ac:dyDescent="0.25">
      <c r="A5">
        <v>4</v>
      </c>
      <c r="B5" t="s">
        <v>211</v>
      </c>
      <c r="C5" t="s">
        <v>378</v>
      </c>
      <c r="D5">
        <v>20600</v>
      </c>
      <c r="E5" t="s">
        <v>8</v>
      </c>
      <c r="F5" t="s">
        <v>9</v>
      </c>
    </row>
    <row r="6" spans="1:6" x14ac:dyDescent="0.25">
      <c r="A6">
        <v>5</v>
      </c>
      <c r="B6" t="s">
        <v>81</v>
      </c>
      <c r="C6" t="s">
        <v>379</v>
      </c>
      <c r="D6">
        <v>30300</v>
      </c>
      <c r="E6" t="s">
        <v>8</v>
      </c>
      <c r="F6" t="s">
        <v>9</v>
      </c>
    </row>
    <row r="7" spans="1:6" x14ac:dyDescent="0.25">
      <c r="A7">
        <v>6</v>
      </c>
      <c r="B7" t="s">
        <v>262</v>
      </c>
      <c r="C7" t="s">
        <v>380</v>
      </c>
      <c r="D7">
        <v>169400</v>
      </c>
      <c r="E7" t="s">
        <v>23</v>
      </c>
      <c r="F7" t="s">
        <v>9</v>
      </c>
    </row>
    <row r="8" spans="1:6" x14ac:dyDescent="0.25">
      <c r="A8">
        <v>7</v>
      </c>
      <c r="B8" t="s">
        <v>130</v>
      </c>
      <c r="C8" t="s">
        <v>381</v>
      </c>
      <c r="D8">
        <v>169200</v>
      </c>
      <c r="E8" t="s">
        <v>38</v>
      </c>
      <c r="F8" t="s">
        <v>20</v>
      </c>
    </row>
    <row r="9" spans="1:6" x14ac:dyDescent="0.25">
      <c r="A9">
        <v>8</v>
      </c>
      <c r="B9" t="s">
        <v>201</v>
      </c>
      <c r="C9" t="s">
        <v>382</v>
      </c>
      <c r="D9">
        <v>60400</v>
      </c>
      <c r="E9" t="s">
        <v>8</v>
      </c>
      <c r="F9" t="s">
        <v>9</v>
      </c>
    </row>
    <row r="10" spans="1:6" x14ac:dyDescent="0.25">
      <c r="A10">
        <v>9</v>
      </c>
      <c r="B10" t="s">
        <v>311</v>
      </c>
      <c r="C10" t="s">
        <v>383</v>
      </c>
      <c r="D10">
        <v>59700</v>
      </c>
      <c r="E10" t="s">
        <v>38</v>
      </c>
      <c r="F10" t="s">
        <v>9</v>
      </c>
    </row>
    <row r="11" spans="1:6" x14ac:dyDescent="0.25">
      <c r="A11">
        <v>10</v>
      </c>
      <c r="B11" t="s">
        <v>357</v>
      </c>
      <c r="C11" t="s">
        <v>384</v>
      </c>
      <c r="D11">
        <v>45000</v>
      </c>
      <c r="E11" t="s">
        <v>23</v>
      </c>
      <c r="F11" t="s">
        <v>9</v>
      </c>
    </row>
    <row r="12" spans="1:6" x14ac:dyDescent="0.25">
      <c r="A12">
        <v>11</v>
      </c>
      <c r="B12" t="s">
        <v>330</v>
      </c>
      <c r="C12" t="s">
        <v>385</v>
      </c>
      <c r="D12">
        <v>51900</v>
      </c>
      <c r="E12" t="s">
        <v>8</v>
      </c>
      <c r="F12" t="s">
        <v>9</v>
      </c>
    </row>
    <row r="13" spans="1:6" x14ac:dyDescent="0.25">
      <c r="A13">
        <v>12</v>
      </c>
      <c r="B13" t="s">
        <v>144</v>
      </c>
      <c r="C13" t="s">
        <v>386</v>
      </c>
      <c r="D13">
        <v>23400</v>
      </c>
      <c r="E13" t="s">
        <v>8</v>
      </c>
      <c r="F13" t="s">
        <v>9</v>
      </c>
    </row>
    <row r="14" spans="1:6" x14ac:dyDescent="0.25">
      <c r="A14">
        <v>13</v>
      </c>
      <c r="B14" t="s">
        <v>250</v>
      </c>
      <c r="C14" t="s">
        <v>375</v>
      </c>
      <c r="D14">
        <v>9100</v>
      </c>
      <c r="E14" t="s">
        <v>23</v>
      </c>
      <c r="F14" t="s">
        <v>9</v>
      </c>
    </row>
    <row r="15" spans="1:6" x14ac:dyDescent="0.25">
      <c r="A15">
        <v>14</v>
      </c>
      <c r="B15" t="s">
        <v>180</v>
      </c>
      <c r="C15" t="s">
        <v>376</v>
      </c>
      <c r="D15">
        <v>217700</v>
      </c>
      <c r="E15" t="s">
        <v>23</v>
      </c>
      <c r="F15" t="s">
        <v>20</v>
      </c>
    </row>
    <row r="16" spans="1:6" x14ac:dyDescent="0.25">
      <c r="A16">
        <v>15</v>
      </c>
      <c r="B16" t="s">
        <v>121</v>
      </c>
      <c r="C16" t="s">
        <v>377</v>
      </c>
      <c r="D16">
        <v>44600</v>
      </c>
      <c r="E16" t="s">
        <v>8</v>
      </c>
      <c r="F16" t="s">
        <v>9</v>
      </c>
    </row>
    <row r="17" spans="1:6" x14ac:dyDescent="0.25">
      <c r="A17">
        <v>16</v>
      </c>
      <c r="B17" t="s">
        <v>110</v>
      </c>
      <c r="C17" t="s">
        <v>378</v>
      </c>
      <c r="D17">
        <v>5000</v>
      </c>
      <c r="E17" t="s">
        <v>8</v>
      </c>
      <c r="F17" t="s">
        <v>9</v>
      </c>
    </row>
    <row r="18" spans="1:6" x14ac:dyDescent="0.25">
      <c r="A18">
        <v>17</v>
      </c>
      <c r="B18" t="s">
        <v>326</v>
      </c>
      <c r="C18" t="s">
        <v>379</v>
      </c>
      <c r="D18">
        <v>16800</v>
      </c>
      <c r="E18" t="s">
        <v>38</v>
      </c>
      <c r="F18" t="s">
        <v>9</v>
      </c>
    </row>
    <row r="19" spans="1:6" x14ac:dyDescent="0.25">
      <c r="A19">
        <v>18</v>
      </c>
      <c r="B19" t="s">
        <v>18</v>
      </c>
      <c r="C19" t="s">
        <v>380</v>
      </c>
      <c r="D19">
        <v>53100</v>
      </c>
      <c r="E19" t="s">
        <v>23</v>
      </c>
      <c r="F19" t="s">
        <v>20</v>
      </c>
    </row>
    <row r="20" spans="1:6" x14ac:dyDescent="0.25">
      <c r="A20">
        <v>19</v>
      </c>
      <c r="B20" t="s">
        <v>207</v>
      </c>
      <c r="C20" t="s">
        <v>381</v>
      </c>
      <c r="D20">
        <v>14500</v>
      </c>
      <c r="E20" t="s">
        <v>8</v>
      </c>
      <c r="F20" t="s">
        <v>9</v>
      </c>
    </row>
    <row r="21" spans="1:6" x14ac:dyDescent="0.25">
      <c r="A21">
        <v>20</v>
      </c>
      <c r="B21" t="s">
        <v>82</v>
      </c>
      <c r="C21" t="s">
        <v>382</v>
      </c>
      <c r="D21">
        <v>8900</v>
      </c>
      <c r="E21" t="s">
        <v>38</v>
      </c>
      <c r="F21" t="s">
        <v>20</v>
      </c>
    </row>
    <row r="22" spans="1:6" x14ac:dyDescent="0.25">
      <c r="A22">
        <v>21</v>
      </c>
      <c r="B22" t="s">
        <v>71</v>
      </c>
      <c r="C22" t="s">
        <v>383</v>
      </c>
      <c r="D22">
        <v>5000</v>
      </c>
      <c r="E22" t="s">
        <v>23</v>
      </c>
      <c r="F22" t="s">
        <v>9</v>
      </c>
    </row>
    <row r="23" spans="1:6" x14ac:dyDescent="0.25">
      <c r="A23">
        <v>22</v>
      </c>
      <c r="B23" t="s">
        <v>76</v>
      </c>
      <c r="C23" t="s">
        <v>384</v>
      </c>
      <c r="D23">
        <v>70100</v>
      </c>
      <c r="E23" t="s">
        <v>23</v>
      </c>
      <c r="F23" t="s">
        <v>9</v>
      </c>
    </row>
    <row r="24" spans="1:6" x14ac:dyDescent="0.25">
      <c r="A24">
        <v>23</v>
      </c>
      <c r="B24" t="s">
        <v>387</v>
      </c>
      <c r="C24" t="s">
        <v>385</v>
      </c>
      <c r="D24">
        <v>5000</v>
      </c>
      <c r="E24" t="s">
        <v>8</v>
      </c>
      <c r="F24" t="s">
        <v>9</v>
      </c>
    </row>
    <row r="25" spans="1:6" x14ac:dyDescent="0.25">
      <c r="A25">
        <v>24</v>
      </c>
      <c r="B25" t="s">
        <v>227</v>
      </c>
      <c r="C25" t="s">
        <v>386</v>
      </c>
      <c r="D25">
        <v>76600</v>
      </c>
      <c r="E25" t="s">
        <v>23</v>
      </c>
      <c r="F25" t="s">
        <v>9</v>
      </c>
    </row>
    <row r="26" spans="1:6" x14ac:dyDescent="0.25">
      <c r="A26">
        <v>25</v>
      </c>
      <c r="B26" t="s">
        <v>73</v>
      </c>
      <c r="C26" t="s">
        <v>375</v>
      </c>
      <c r="D26">
        <v>5000</v>
      </c>
      <c r="E26" t="s">
        <v>8</v>
      </c>
      <c r="F26" t="s">
        <v>9</v>
      </c>
    </row>
    <row r="27" spans="1:6" x14ac:dyDescent="0.25">
      <c r="A27">
        <v>26</v>
      </c>
      <c r="B27" t="s">
        <v>134</v>
      </c>
      <c r="C27" t="s">
        <v>376</v>
      </c>
      <c r="D27">
        <v>7400</v>
      </c>
      <c r="E27" t="s">
        <v>38</v>
      </c>
      <c r="F27" t="s">
        <v>20</v>
      </c>
    </row>
    <row r="28" spans="1:6" x14ac:dyDescent="0.25">
      <c r="A28">
        <v>27</v>
      </c>
      <c r="B28" t="s">
        <v>192</v>
      </c>
      <c r="C28" t="s">
        <v>377</v>
      </c>
      <c r="D28">
        <v>35600</v>
      </c>
      <c r="E28" t="s">
        <v>23</v>
      </c>
      <c r="F28" t="s">
        <v>9</v>
      </c>
    </row>
    <row r="29" spans="1:6" x14ac:dyDescent="0.25">
      <c r="A29">
        <v>28</v>
      </c>
      <c r="B29" t="s">
        <v>258</v>
      </c>
      <c r="C29" t="s">
        <v>378</v>
      </c>
      <c r="D29">
        <v>34900</v>
      </c>
      <c r="E29" t="s">
        <v>8</v>
      </c>
      <c r="F29" t="s">
        <v>9</v>
      </c>
    </row>
    <row r="30" spans="1:6" x14ac:dyDescent="0.25">
      <c r="A30">
        <v>29</v>
      </c>
      <c r="B30" t="s">
        <v>185</v>
      </c>
      <c r="C30" t="s">
        <v>379</v>
      </c>
      <c r="D30">
        <v>23800</v>
      </c>
      <c r="E30" t="s">
        <v>8</v>
      </c>
      <c r="F30" t="s">
        <v>20</v>
      </c>
    </row>
    <row r="31" spans="1:6" x14ac:dyDescent="0.25">
      <c r="A31">
        <v>30</v>
      </c>
      <c r="B31" t="s">
        <v>352</v>
      </c>
      <c r="C31" t="s">
        <v>380</v>
      </c>
      <c r="D31">
        <v>51000</v>
      </c>
      <c r="E31" t="s">
        <v>23</v>
      </c>
      <c r="F31" t="s">
        <v>20</v>
      </c>
    </row>
    <row r="32" spans="1:6" x14ac:dyDescent="0.25">
      <c r="A32">
        <v>31</v>
      </c>
      <c r="B32" t="s">
        <v>103</v>
      </c>
      <c r="C32" t="s">
        <v>381</v>
      </c>
      <c r="D32">
        <v>50600</v>
      </c>
      <c r="E32" t="s">
        <v>23</v>
      </c>
      <c r="F32" t="s">
        <v>9</v>
      </c>
    </row>
    <row r="33" spans="1:6" x14ac:dyDescent="0.25">
      <c r="A33">
        <v>32</v>
      </c>
      <c r="B33" t="s">
        <v>165</v>
      </c>
      <c r="C33" t="s">
        <v>382</v>
      </c>
      <c r="D33">
        <v>30900</v>
      </c>
      <c r="E33" t="s">
        <v>8</v>
      </c>
      <c r="F33" t="s">
        <v>9</v>
      </c>
    </row>
    <row r="34" spans="1:6" x14ac:dyDescent="0.25">
      <c r="A34">
        <v>33</v>
      </c>
      <c r="B34" t="s">
        <v>116</v>
      </c>
      <c r="C34" t="s">
        <v>383</v>
      </c>
      <c r="D34">
        <v>63500</v>
      </c>
      <c r="E34" t="s">
        <v>8</v>
      </c>
      <c r="F34" t="s">
        <v>9</v>
      </c>
    </row>
    <row r="35" spans="1:6" x14ac:dyDescent="0.25">
      <c r="A35">
        <v>34</v>
      </c>
      <c r="B35" t="s">
        <v>200</v>
      </c>
      <c r="C35" t="s">
        <v>384</v>
      </c>
      <c r="D35">
        <v>77200</v>
      </c>
      <c r="E35" t="s">
        <v>38</v>
      </c>
      <c r="F35" t="s">
        <v>20</v>
      </c>
    </row>
    <row r="36" spans="1:6" x14ac:dyDescent="0.25">
      <c r="A36">
        <v>35</v>
      </c>
      <c r="B36" t="s">
        <v>214</v>
      </c>
      <c r="C36" t="s">
        <v>385</v>
      </c>
      <c r="D36">
        <v>21200</v>
      </c>
      <c r="E36" t="s">
        <v>38</v>
      </c>
      <c r="F36" t="s">
        <v>20</v>
      </c>
    </row>
    <row r="37" spans="1:6" x14ac:dyDescent="0.25">
      <c r="A37">
        <v>36</v>
      </c>
      <c r="B37" t="s">
        <v>268</v>
      </c>
      <c r="C37" t="s">
        <v>386</v>
      </c>
      <c r="D37">
        <v>8100</v>
      </c>
      <c r="E37" t="s">
        <v>23</v>
      </c>
      <c r="F37" t="s">
        <v>9</v>
      </c>
    </row>
    <row r="38" spans="1:6" x14ac:dyDescent="0.25">
      <c r="A38">
        <v>37</v>
      </c>
      <c r="B38" t="s">
        <v>161</v>
      </c>
      <c r="C38" t="s">
        <v>375</v>
      </c>
      <c r="D38">
        <v>17400</v>
      </c>
      <c r="E38" t="s">
        <v>8</v>
      </c>
      <c r="F38" t="s">
        <v>9</v>
      </c>
    </row>
    <row r="39" spans="1:6" x14ac:dyDescent="0.25">
      <c r="A39">
        <v>38</v>
      </c>
      <c r="B39" t="s">
        <v>99</v>
      </c>
      <c r="C39" t="s">
        <v>376</v>
      </c>
      <c r="D39">
        <v>5000</v>
      </c>
      <c r="E39" t="s">
        <v>8</v>
      </c>
      <c r="F39" t="s">
        <v>9</v>
      </c>
    </row>
    <row r="40" spans="1:6" x14ac:dyDescent="0.25">
      <c r="A40">
        <v>39</v>
      </c>
      <c r="B40" t="s">
        <v>373</v>
      </c>
      <c r="C40" t="s">
        <v>377</v>
      </c>
      <c r="D40">
        <v>37900</v>
      </c>
      <c r="E40" t="s">
        <v>23</v>
      </c>
      <c r="F40" t="s">
        <v>20</v>
      </c>
    </row>
    <row r="41" spans="1:6" x14ac:dyDescent="0.25">
      <c r="A41">
        <v>40</v>
      </c>
      <c r="B41" t="s">
        <v>74</v>
      </c>
      <c r="C41" t="s">
        <v>378</v>
      </c>
      <c r="D41">
        <v>25900</v>
      </c>
      <c r="E41" t="s">
        <v>8</v>
      </c>
      <c r="F41" t="s">
        <v>9</v>
      </c>
    </row>
    <row r="42" spans="1:6" x14ac:dyDescent="0.25">
      <c r="A42">
        <v>41</v>
      </c>
      <c r="B42" t="s">
        <v>221</v>
      </c>
      <c r="C42" t="s">
        <v>379</v>
      </c>
      <c r="D42">
        <v>59500</v>
      </c>
      <c r="E42" t="s">
        <v>38</v>
      </c>
      <c r="F42" t="s">
        <v>20</v>
      </c>
    </row>
    <row r="43" spans="1:6" x14ac:dyDescent="0.25">
      <c r="A43">
        <v>42</v>
      </c>
      <c r="B43" t="s">
        <v>388</v>
      </c>
      <c r="C43" t="s">
        <v>380</v>
      </c>
      <c r="D43">
        <v>9300</v>
      </c>
      <c r="E43" t="s">
        <v>8</v>
      </c>
      <c r="F43" t="s">
        <v>9</v>
      </c>
    </row>
    <row r="44" spans="1:6" x14ac:dyDescent="0.25">
      <c r="A44">
        <v>43</v>
      </c>
      <c r="B44" t="s">
        <v>389</v>
      </c>
      <c r="C44" t="s">
        <v>381</v>
      </c>
      <c r="D44">
        <v>91300</v>
      </c>
      <c r="E44" t="s">
        <v>8</v>
      </c>
      <c r="F44" t="s">
        <v>9</v>
      </c>
    </row>
    <row r="45" spans="1:6" x14ac:dyDescent="0.25">
      <c r="A45">
        <v>44</v>
      </c>
      <c r="B45" t="s">
        <v>95</v>
      </c>
      <c r="C45" t="s">
        <v>382</v>
      </c>
      <c r="D45">
        <v>12300</v>
      </c>
      <c r="E45" t="s">
        <v>23</v>
      </c>
      <c r="F45" t="s">
        <v>20</v>
      </c>
    </row>
    <row r="46" spans="1:6" x14ac:dyDescent="0.25">
      <c r="A46">
        <v>45</v>
      </c>
      <c r="B46" t="s">
        <v>197</v>
      </c>
      <c r="C46" t="s">
        <v>383</v>
      </c>
      <c r="D46">
        <v>11300</v>
      </c>
      <c r="E46" t="s">
        <v>8</v>
      </c>
      <c r="F46" t="s">
        <v>9</v>
      </c>
    </row>
    <row r="47" spans="1:6" x14ac:dyDescent="0.25">
      <c r="A47">
        <v>46</v>
      </c>
      <c r="B47" t="s">
        <v>312</v>
      </c>
      <c r="C47" t="s">
        <v>384</v>
      </c>
      <c r="D47">
        <v>12900</v>
      </c>
      <c r="E47" t="s">
        <v>23</v>
      </c>
      <c r="F47" t="s">
        <v>9</v>
      </c>
    </row>
    <row r="48" spans="1:6" x14ac:dyDescent="0.25">
      <c r="A48">
        <v>47</v>
      </c>
      <c r="B48" t="s">
        <v>145</v>
      </c>
      <c r="C48" t="s">
        <v>385</v>
      </c>
      <c r="D48">
        <v>14000</v>
      </c>
      <c r="E48" t="s">
        <v>38</v>
      </c>
      <c r="F48" t="s">
        <v>20</v>
      </c>
    </row>
    <row r="49" spans="1:6" x14ac:dyDescent="0.25">
      <c r="A49">
        <v>48</v>
      </c>
      <c r="B49" t="s">
        <v>336</v>
      </c>
      <c r="C49" t="s">
        <v>386</v>
      </c>
      <c r="D49">
        <v>30400</v>
      </c>
      <c r="E49" t="s">
        <v>23</v>
      </c>
      <c r="F49" t="s">
        <v>9</v>
      </c>
    </row>
    <row r="50" spans="1:6" x14ac:dyDescent="0.25">
      <c r="A50">
        <v>49</v>
      </c>
      <c r="B50" t="s">
        <v>12</v>
      </c>
      <c r="C50" t="s">
        <v>375</v>
      </c>
      <c r="D50">
        <v>74100</v>
      </c>
      <c r="E50" t="s">
        <v>8</v>
      </c>
      <c r="F50" t="s">
        <v>9</v>
      </c>
    </row>
    <row r="51" spans="1:6" x14ac:dyDescent="0.25">
      <c r="A51">
        <v>50</v>
      </c>
      <c r="B51" t="s">
        <v>160</v>
      </c>
      <c r="C51" t="s">
        <v>376</v>
      </c>
      <c r="D51">
        <v>53400</v>
      </c>
      <c r="E51" t="s">
        <v>8</v>
      </c>
      <c r="F51" t="s">
        <v>9</v>
      </c>
    </row>
    <row r="52" spans="1:6" x14ac:dyDescent="0.25">
      <c r="A52">
        <v>51</v>
      </c>
      <c r="B52" t="s">
        <v>130</v>
      </c>
      <c r="C52" t="s">
        <v>377</v>
      </c>
      <c r="D52">
        <v>29800</v>
      </c>
      <c r="E52" t="s">
        <v>8</v>
      </c>
      <c r="F52" t="s">
        <v>9</v>
      </c>
    </row>
    <row r="53" spans="1:6" x14ac:dyDescent="0.25">
      <c r="A53">
        <v>52</v>
      </c>
      <c r="B53" t="s">
        <v>212</v>
      </c>
      <c r="C53" t="s">
        <v>378</v>
      </c>
      <c r="D53">
        <v>275700</v>
      </c>
      <c r="E53" t="s">
        <v>8</v>
      </c>
      <c r="F53" t="s">
        <v>9</v>
      </c>
    </row>
    <row r="54" spans="1:6" x14ac:dyDescent="0.25">
      <c r="A54">
        <v>53</v>
      </c>
      <c r="B54" t="s">
        <v>262</v>
      </c>
      <c r="C54" t="s">
        <v>377</v>
      </c>
      <c r="D54">
        <v>500000</v>
      </c>
      <c r="E54" t="s">
        <v>8</v>
      </c>
      <c r="F54" t="s">
        <v>9</v>
      </c>
    </row>
    <row r="55" spans="1:6" x14ac:dyDescent="0.25">
      <c r="A55">
        <v>54</v>
      </c>
      <c r="B55" t="s">
        <v>97</v>
      </c>
      <c r="C55" t="s">
        <v>380</v>
      </c>
      <c r="D55">
        <v>128400</v>
      </c>
      <c r="E55" t="s">
        <v>8</v>
      </c>
      <c r="F55" t="s">
        <v>9</v>
      </c>
    </row>
    <row r="56" spans="1:6" x14ac:dyDescent="0.25">
      <c r="A56">
        <v>55</v>
      </c>
      <c r="B56" t="s">
        <v>159</v>
      </c>
      <c r="C56" t="s">
        <v>381</v>
      </c>
      <c r="D56">
        <v>20200</v>
      </c>
      <c r="E56" t="s">
        <v>8</v>
      </c>
      <c r="F56" t="s">
        <v>9</v>
      </c>
    </row>
    <row r="57" spans="1:6" x14ac:dyDescent="0.25">
      <c r="A57">
        <v>56</v>
      </c>
      <c r="B57" t="s">
        <v>192</v>
      </c>
      <c r="C57" t="s">
        <v>382</v>
      </c>
      <c r="D57">
        <v>16200</v>
      </c>
      <c r="E57" t="s">
        <v>8</v>
      </c>
      <c r="F57" t="s">
        <v>20</v>
      </c>
    </row>
    <row r="58" spans="1:6" x14ac:dyDescent="0.25">
      <c r="A58">
        <v>57</v>
      </c>
      <c r="B58" t="s">
        <v>325</v>
      </c>
      <c r="C58" t="s">
        <v>383</v>
      </c>
      <c r="D58">
        <v>18500</v>
      </c>
      <c r="E58" t="s">
        <v>8</v>
      </c>
      <c r="F58" t="s">
        <v>9</v>
      </c>
    </row>
    <row r="59" spans="1:6" x14ac:dyDescent="0.25">
      <c r="A59">
        <v>58</v>
      </c>
      <c r="B59" t="s">
        <v>248</v>
      </c>
      <c r="C59" t="s">
        <v>384</v>
      </c>
      <c r="D59">
        <v>108200</v>
      </c>
      <c r="E59" t="s">
        <v>38</v>
      </c>
      <c r="F59" t="s">
        <v>9</v>
      </c>
    </row>
    <row r="60" spans="1:6" x14ac:dyDescent="0.25">
      <c r="A60">
        <v>59</v>
      </c>
      <c r="B60" t="s">
        <v>112</v>
      </c>
      <c r="C60" t="s">
        <v>385</v>
      </c>
      <c r="D60">
        <v>233800</v>
      </c>
      <c r="E60" t="s">
        <v>23</v>
      </c>
      <c r="F60" t="s">
        <v>20</v>
      </c>
    </row>
    <row r="61" spans="1:6" x14ac:dyDescent="0.25">
      <c r="A61">
        <v>60</v>
      </c>
      <c r="B61" t="s">
        <v>30</v>
      </c>
      <c r="C61" t="s">
        <v>386</v>
      </c>
      <c r="D61">
        <v>22700</v>
      </c>
      <c r="E61" t="s">
        <v>8</v>
      </c>
      <c r="F61" t="s">
        <v>9</v>
      </c>
    </row>
    <row r="62" spans="1:6" x14ac:dyDescent="0.25">
      <c r="A62">
        <v>61</v>
      </c>
      <c r="B62" t="s">
        <v>330</v>
      </c>
      <c r="C62" t="s">
        <v>375</v>
      </c>
      <c r="D62">
        <v>20700</v>
      </c>
      <c r="E62" t="s">
        <v>23</v>
      </c>
      <c r="F62" t="s">
        <v>9</v>
      </c>
    </row>
    <row r="63" spans="1:6" x14ac:dyDescent="0.25">
      <c r="A63">
        <v>62</v>
      </c>
      <c r="B63" t="s">
        <v>42</v>
      </c>
      <c r="C63" t="s">
        <v>376</v>
      </c>
      <c r="D63">
        <v>34800</v>
      </c>
      <c r="E63" t="s">
        <v>38</v>
      </c>
      <c r="F63" t="s">
        <v>20</v>
      </c>
    </row>
    <row r="64" spans="1:6" x14ac:dyDescent="0.25">
      <c r="A64">
        <v>63</v>
      </c>
      <c r="B64" t="s">
        <v>330</v>
      </c>
      <c r="C64" t="s">
        <v>377</v>
      </c>
      <c r="D64">
        <v>39600</v>
      </c>
      <c r="E64" t="s">
        <v>8</v>
      </c>
      <c r="F64" t="s">
        <v>20</v>
      </c>
    </row>
    <row r="65" spans="1:6" x14ac:dyDescent="0.25">
      <c r="A65">
        <v>64</v>
      </c>
      <c r="B65" t="s">
        <v>260</v>
      </c>
      <c r="C65" t="s">
        <v>378</v>
      </c>
      <c r="D65">
        <v>19700</v>
      </c>
      <c r="E65" t="s">
        <v>38</v>
      </c>
      <c r="F65" t="s">
        <v>9</v>
      </c>
    </row>
    <row r="66" spans="1:6" x14ac:dyDescent="0.25">
      <c r="A66">
        <v>65</v>
      </c>
      <c r="B66" t="s">
        <v>188</v>
      </c>
      <c r="C66" t="s">
        <v>379</v>
      </c>
      <c r="D66">
        <v>6300</v>
      </c>
      <c r="E66" t="s">
        <v>8</v>
      </c>
      <c r="F66" t="s">
        <v>9</v>
      </c>
    </row>
    <row r="67" spans="1:6" x14ac:dyDescent="0.25">
      <c r="A67">
        <v>66</v>
      </c>
      <c r="B67" t="s">
        <v>273</v>
      </c>
      <c r="C67" t="s">
        <v>380</v>
      </c>
      <c r="D67">
        <v>7700</v>
      </c>
      <c r="E67" t="s">
        <v>38</v>
      </c>
      <c r="F67" t="s">
        <v>20</v>
      </c>
    </row>
    <row r="68" spans="1:6" x14ac:dyDescent="0.25">
      <c r="A68">
        <v>67</v>
      </c>
      <c r="B68" t="s">
        <v>128</v>
      </c>
      <c r="C68" t="s">
        <v>381</v>
      </c>
      <c r="D68">
        <v>99300</v>
      </c>
      <c r="E68" t="s">
        <v>8</v>
      </c>
      <c r="F68" t="s">
        <v>9</v>
      </c>
    </row>
    <row r="69" spans="1:6" x14ac:dyDescent="0.25">
      <c r="A69">
        <v>68</v>
      </c>
      <c r="B69" t="s">
        <v>308</v>
      </c>
      <c r="C69" t="s">
        <v>382</v>
      </c>
      <c r="D69">
        <v>50300</v>
      </c>
      <c r="E69" t="s">
        <v>8</v>
      </c>
      <c r="F69" t="s">
        <v>9</v>
      </c>
    </row>
    <row r="70" spans="1:6" x14ac:dyDescent="0.25">
      <c r="A70">
        <v>69</v>
      </c>
      <c r="B70" t="s">
        <v>113</v>
      </c>
      <c r="C70" t="s">
        <v>383</v>
      </c>
      <c r="D70">
        <v>23400</v>
      </c>
      <c r="E70" t="s">
        <v>8</v>
      </c>
      <c r="F70" t="s">
        <v>20</v>
      </c>
    </row>
    <row r="71" spans="1:6" x14ac:dyDescent="0.25">
      <c r="A71">
        <v>70</v>
      </c>
      <c r="B71" t="s">
        <v>310</v>
      </c>
      <c r="C71" t="s">
        <v>384</v>
      </c>
      <c r="D71">
        <v>46000</v>
      </c>
      <c r="E71" t="s">
        <v>8</v>
      </c>
      <c r="F71" t="s">
        <v>9</v>
      </c>
    </row>
    <row r="72" spans="1:6" x14ac:dyDescent="0.25">
      <c r="A72">
        <v>71</v>
      </c>
      <c r="B72" t="s">
        <v>266</v>
      </c>
      <c r="C72" t="s">
        <v>385</v>
      </c>
      <c r="D72">
        <v>18200</v>
      </c>
      <c r="E72" t="s">
        <v>38</v>
      </c>
      <c r="F72" t="s">
        <v>20</v>
      </c>
    </row>
    <row r="73" spans="1:6" x14ac:dyDescent="0.25">
      <c r="A73">
        <v>72</v>
      </c>
      <c r="B73" t="s">
        <v>322</v>
      </c>
      <c r="C73" t="s">
        <v>386</v>
      </c>
      <c r="D73">
        <v>24700</v>
      </c>
      <c r="E73" t="s">
        <v>8</v>
      </c>
      <c r="F73" t="s">
        <v>9</v>
      </c>
    </row>
    <row r="74" spans="1:6" x14ac:dyDescent="0.25">
      <c r="A74">
        <v>73</v>
      </c>
      <c r="B74" t="s">
        <v>289</v>
      </c>
      <c r="C74" t="s">
        <v>375</v>
      </c>
      <c r="D74">
        <v>130600</v>
      </c>
      <c r="E74" t="s">
        <v>38</v>
      </c>
      <c r="F74" t="s">
        <v>20</v>
      </c>
    </row>
    <row r="75" spans="1:6" x14ac:dyDescent="0.25">
      <c r="A75">
        <v>74</v>
      </c>
      <c r="B75" t="s">
        <v>390</v>
      </c>
      <c r="C75" t="s">
        <v>376</v>
      </c>
      <c r="D75">
        <v>229600</v>
      </c>
      <c r="E75" t="s">
        <v>23</v>
      </c>
      <c r="F75" t="s">
        <v>9</v>
      </c>
    </row>
    <row r="76" spans="1:6" x14ac:dyDescent="0.25">
      <c r="A76">
        <v>75</v>
      </c>
      <c r="B76" t="s">
        <v>178</v>
      </c>
      <c r="C76" t="s">
        <v>377</v>
      </c>
      <c r="D76">
        <v>17900</v>
      </c>
      <c r="E76" t="s">
        <v>8</v>
      </c>
      <c r="F76" t="s">
        <v>9</v>
      </c>
    </row>
    <row r="77" spans="1:6" x14ac:dyDescent="0.25">
      <c r="A77">
        <v>76</v>
      </c>
      <c r="B77" t="s">
        <v>76</v>
      </c>
      <c r="C77" t="s">
        <v>378</v>
      </c>
      <c r="D77">
        <v>49000</v>
      </c>
      <c r="E77" t="s">
        <v>23</v>
      </c>
      <c r="F77" t="s">
        <v>9</v>
      </c>
    </row>
    <row r="78" spans="1:6" x14ac:dyDescent="0.25">
      <c r="A78">
        <v>77</v>
      </c>
      <c r="B78" t="s">
        <v>351</v>
      </c>
      <c r="C78" t="s">
        <v>379</v>
      </c>
      <c r="D78">
        <v>18700</v>
      </c>
      <c r="E78" t="s">
        <v>8</v>
      </c>
      <c r="F78" t="s">
        <v>20</v>
      </c>
    </row>
    <row r="79" spans="1:6" x14ac:dyDescent="0.25">
      <c r="A79">
        <v>78</v>
      </c>
      <c r="B79" t="s">
        <v>374</v>
      </c>
      <c r="C79" t="s">
        <v>380</v>
      </c>
      <c r="D79">
        <v>225800</v>
      </c>
      <c r="E79" t="s">
        <v>8</v>
      </c>
      <c r="F79" t="s">
        <v>9</v>
      </c>
    </row>
    <row r="80" spans="1:6" x14ac:dyDescent="0.25">
      <c r="A80">
        <v>79</v>
      </c>
      <c r="B80" t="s">
        <v>242</v>
      </c>
      <c r="C80" t="s">
        <v>381</v>
      </c>
      <c r="D80">
        <v>8300</v>
      </c>
      <c r="E80" t="s">
        <v>23</v>
      </c>
      <c r="F80" t="s">
        <v>9</v>
      </c>
    </row>
    <row r="81" spans="1:6" x14ac:dyDescent="0.25">
      <c r="A81">
        <v>80</v>
      </c>
      <c r="B81" t="s">
        <v>87</v>
      </c>
      <c r="C81" t="s">
        <v>382</v>
      </c>
      <c r="D81">
        <v>5100</v>
      </c>
      <c r="E81" t="s">
        <v>8</v>
      </c>
      <c r="F81" t="s">
        <v>9</v>
      </c>
    </row>
    <row r="82" spans="1:6" x14ac:dyDescent="0.25">
      <c r="A82">
        <v>81</v>
      </c>
      <c r="B82" t="s">
        <v>132</v>
      </c>
      <c r="C82" t="s">
        <v>383</v>
      </c>
      <c r="D82">
        <v>75000</v>
      </c>
      <c r="E82" t="s">
        <v>8</v>
      </c>
      <c r="F82" t="s">
        <v>9</v>
      </c>
    </row>
    <row r="83" spans="1:6" x14ac:dyDescent="0.25">
      <c r="A83">
        <v>82</v>
      </c>
      <c r="B83" t="s">
        <v>289</v>
      </c>
      <c r="C83" t="s">
        <v>384</v>
      </c>
      <c r="D83">
        <v>31800</v>
      </c>
      <c r="E83" t="s">
        <v>23</v>
      </c>
      <c r="F83" t="s">
        <v>9</v>
      </c>
    </row>
    <row r="84" spans="1:6" x14ac:dyDescent="0.25">
      <c r="A84">
        <v>83</v>
      </c>
      <c r="B84" t="s">
        <v>280</v>
      </c>
      <c r="C84" t="s">
        <v>385</v>
      </c>
      <c r="D84">
        <v>23700</v>
      </c>
      <c r="E84" t="s">
        <v>8</v>
      </c>
      <c r="F84" t="s">
        <v>20</v>
      </c>
    </row>
    <row r="85" spans="1:6" x14ac:dyDescent="0.25">
      <c r="A85">
        <v>84</v>
      </c>
      <c r="B85" t="s">
        <v>346</v>
      </c>
      <c r="C85" t="s">
        <v>386</v>
      </c>
      <c r="D85">
        <v>41300</v>
      </c>
      <c r="E85" t="s">
        <v>8</v>
      </c>
      <c r="F85" t="s">
        <v>20</v>
      </c>
    </row>
    <row r="86" spans="1:6" x14ac:dyDescent="0.25">
      <c r="A86">
        <v>85</v>
      </c>
      <c r="B86" t="s">
        <v>291</v>
      </c>
      <c r="C86" t="s">
        <v>375</v>
      </c>
      <c r="D86">
        <v>40000</v>
      </c>
      <c r="E86" t="s">
        <v>23</v>
      </c>
      <c r="F86" t="s">
        <v>20</v>
      </c>
    </row>
    <row r="87" spans="1:6" x14ac:dyDescent="0.25">
      <c r="A87">
        <v>86</v>
      </c>
      <c r="B87" t="s">
        <v>65</v>
      </c>
      <c r="C87" t="s">
        <v>376</v>
      </c>
      <c r="D87">
        <v>21200</v>
      </c>
      <c r="E87" t="s">
        <v>8</v>
      </c>
      <c r="F87" t="s">
        <v>9</v>
      </c>
    </row>
    <row r="88" spans="1:6" x14ac:dyDescent="0.25">
      <c r="A88">
        <v>87</v>
      </c>
      <c r="B88" t="s">
        <v>150</v>
      </c>
      <c r="C88" t="s">
        <v>377</v>
      </c>
      <c r="D88">
        <v>26400</v>
      </c>
      <c r="E88" t="s">
        <v>8</v>
      </c>
      <c r="F88" t="s">
        <v>9</v>
      </c>
    </row>
    <row r="89" spans="1:6" x14ac:dyDescent="0.25">
      <c r="A89">
        <v>88</v>
      </c>
      <c r="B89" t="s">
        <v>87</v>
      </c>
      <c r="C89" t="s">
        <v>378</v>
      </c>
      <c r="D89">
        <v>23300</v>
      </c>
      <c r="E89" t="s">
        <v>38</v>
      </c>
      <c r="F89" t="s">
        <v>20</v>
      </c>
    </row>
    <row r="90" spans="1:6" x14ac:dyDescent="0.25">
      <c r="A90">
        <v>89</v>
      </c>
      <c r="B90" t="s">
        <v>82</v>
      </c>
      <c r="C90" t="s">
        <v>379</v>
      </c>
      <c r="D90">
        <v>24200</v>
      </c>
      <c r="E90" t="s">
        <v>38</v>
      </c>
      <c r="F90" t="s">
        <v>20</v>
      </c>
    </row>
    <row r="91" spans="1:6" x14ac:dyDescent="0.25">
      <c r="A91">
        <v>90</v>
      </c>
      <c r="B91" t="s">
        <v>391</v>
      </c>
      <c r="C91" t="s">
        <v>380</v>
      </c>
      <c r="D91">
        <v>130200</v>
      </c>
      <c r="E91" t="s">
        <v>8</v>
      </c>
      <c r="F91" t="s">
        <v>9</v>
      </c>
    </row>
    <row r="92" spans="1:6" x14ac:dyDescent="0.25">
      <c r="A92">
        <v>91</v>
      </c>
      <c r="B92" t="s">
        <v>147</v>
      </c>
      <c r="C92" t="s">
        <v>381</v>
      </c>
      <c r="D92">
        <v>9900</v>
      </c>
      <c r="E92" t="s">
        <v>23</v>
      </c>
      <c r="F92" t="s">
        <v>9</v>
      </c>
    </row>
    <row r="93" spans="1:6" x14ac:dyDescent="0.25">
      <c r="A93">
        <v>92</v>
      </c>
      <c r="B93" t="s">
        <v>314</v>
      </c>
      <c r="C93" t="s">
        <v>382</v>
      </c>
      <c r="D93">
        <v>61300</v>
      </c>
      <c r="E93" t="s">
        <v>8</v>
      </c>
      <c r="F93" t="s">
        <v>9</v>
      </c>
    </row>
    <row r="94" spans="1:6" x14ac:dyDescent="0.25">
      <c r="A94">
        <v>93</v>
      </c>
      <c r="B94" t="s">
        <v>343</v>
      </c>
      <c r="C94" t="s">
        <v>383</v>
      </c>
      <c r="D94">
        <v>29000</v>
      </c>
      <c r="E94" t="s">
        <v>38</v>
      </c>
      <c r="F94" t="s">
        <v>20</v>
      </c>
    </row>
    <row r="95" spans="1:6" x14ac:dyDescent="0.25">
      <c r="A95">
        <v>94</v>
      </c>
      <c r="B95" t="s">
        <v>191</v>
      </c>
      <c r="C95" t="s">
        <v>382</v>
      </c>
      <c r="D95">
        <v>0</v>
      </c>
      <c r="E95" t="s">
        <v>8</v>
      </c>
      <c r="F95" t="s">
        <v>9</v>
      </c>
    </row>
    <row r="96" spans="1:6" x14ac:dyDescent="0.25">
      <c r="A96">
        <v>95</v>
      </c>
      <c r="B96" t="s">
        <v>21</v>
      </c>
      <c r="C96" t="s">
        <v>385</v>
      </c>
      <c r="D96">
        <v>28400</v>
      </c>
      <c r="E96" t="s">
        <v>38</v>
      </c>
      <c r="F96" t="s">
        <v>20</v>
      </c>
    </row>
    <row r="97" spans="1:6" x14ac:dyDescent="0.25">
      <c r="A97">
        <v>96</v>
      </c>
      <c r="B97" t="s">
        <v>67</v>
      </c>
      <c r="C97" t="s">
        <v>386</v>
      </c>
      <c r="D97">
        <v>12200</v>
      </c>
      <c r="E97" t="s">
        <v>23</v>
      </c>
      <c r="F97" t="s">
        <v>20</v>
      </c>
    </row>
    <row r="98" spans="1:6" x14ac:dyDescent="0.25">
      <c r="A98">
        <v>97</v>
      </c>
      <c r="B98" t="s">
        <v>244</v>
      </c>
      <c r="C98" t="s">
        <v>375</v>
      </c>
      <c r="D98">
        <v>5000</v>
      </c>
      <c r="E98" t="s">
        <v>8</v>
      </c>
      <c r="F98" t="s">
        <v>9</v>
      </c>
    </row>
    <row r="99" spans="1:6" x14ac:dyDescent="0.25">
      <c r="A99">
        <v>98</v>
      </c>
      <c r="B99" t="s">
        <v>272</v>
      </c>
      <c r="C99" t="s">
        <v>376</v>
      </c>
      <c r="D99">
        <v>5000</v>
      </c>
      <c r="E99" t="s">
        <v>23</v>
      </c>
      <c r="F99" t="s">
        <v>9</v>
      </c>
    </row>
    <row r="100" spans="1:6" x14ac:dyDescent="0.25">
      <c r="A100">
        <v>99</v>
      </c>
      <c r="B100" t="s">
        <v>264</v>
      </c>
      <c r="C100" t="s">
        <v>377</v>
      </c>
      <c r="D100">
        <v>86000</v>
      </c>
      <c r="E100" t="s">
        <v>8</v>
      </c>
      <c r="F100" t="s">
        <v>9</v>
      </c>
    </row>
    <row r="101" spans="1:6" x14ac:dyDescent="0.25">
      <c r="A101">
        <v>100</v>
      </c>
      <c r="B101" t="s">
        <v>365</v>
      </c>
      <c r="C101" t="s">
        <v>378</v>
      </c>
      <c r="D101">
        <v>125400</v>
      </c>
      <c r="E101" t="s">
        <v>38</v>
      </c>
      <c r="F101" t="s">
        <v>20</v>
      </c>
    </row>
    <row r="102" spans="1:6" x14ac:dyDescent="0.25">
      <c r="A102">
        <v>101</v>
      </c>
      <c r="B102" t="s">
        <v>73</v>
      </c>
      <c r="C102" t="s">
        <v>379</v>
      </c>
      <c r="D102">
        <v>20600</v>
      </c>
      <c r="E102" t="s">
        <v>8</v>
      </c>
      <c r="F102" t="s">
        <v>9</v>
      </c>
    </row>
    <row r="103" spans="1:6" x14ac:dyDescent="0.25">
      <c r="A103">
        <v>102</v>
      </c>
      <c r="B103" t="s">
        <v>154</v>
      </c>
      <c r="C103" t="s">
        <v>380</v>
      </c>
      <c r="D103">
        <v>12800</v>
      </c>
      <c r="E103" t="s">
        <v>8</v>
      </c>
      <c r="F103" t="s">
        <v>9</v>
      </c>
    </row>
    <row r="104" spans="1:6" x14ac:dyDescent="0.25">
      <c r="A104">
        <v>103</v>
      </c>
      <c r="B104" t="s">
        <v>342</v>
      </c>
      <c r="C104" t="s">
        <v>381</v>
      </c>
      <c r="D104">
        <v>5700</v>
      </c>
      <c r="E104" t="s">
        <v>38</v>
      </c>
      <c r="F104" t="s">
        <v>20</v>
      </c>
    </row>
    <row r="105" spans="1:6" x14ac:dyDescent="0.25">
      <c r="A105">
        <v>104</v>
      </c>
      <c r="B105" t="s">
        <v>392</v>
      </c>
      <c r="C105" t="s">
        <v>382</v>
      </c>
      <c r="D105">
        <v>66300</v>
      </c>
      <c r="E105" t="s">
        <v>8</v>
      </c>
      <c r="F105" t="s">
        <v>20</v>
      </c>
    </row>
    <row r="106" spans="1:6" x14ac:dyDescent="0.25">
      <c r="A106">
        <v>105</v>
      </c>
      <c r="B106" t="s">
        <v>393</v>
      </c>
      <c r="C106" t="s">
        <v>383</v>
      </c>
      <c r="D106">
        <v>11400</v>
      </c>
      <c r="E106" t="s">
        <v>8</v>
      </c>
      <c r="F106" t="s">
        <v>9</v>
      </c>
    </row>
    <row r="107" spans="1:6" x14ac:dyDescent="0.25">
      <c r="A107">
        <v>106</v>
      </c>
      <c r="B107" t="s">
        <v>394</v>
      </c>
      <c r="C107" t="s">
        <v>384</v>
      </c>
      <c r="D107">
        <v>6000</v>
      </c>
      <c r="E107" t="s">
        <v>23</v>
      </c>
      <c r="F107" t="s">
        <v>9</v>
      </c>
    </row>
    <row r="108" spans="1:6" x14ac:dyDescent="0.25">
      <c r="A108">
        <v>107</v>
      </c>
      <c r="B108" t="s">
        <v>120</v>
      </c>
      <c r="C108" t="s">
        <v>385</v>
      </c>
      <c r="D108">
        <v>25400</v>
      </c>
      <c r="E108" t="s">
        <v>8</v>
      </c>
      <c r="F108" t="s">
        <v>9</v>
      </c>
    </row>
    <row r="109" spans="1:6" x14ac:dyDescent="0.25">
      <c r="A109">
        <v>108</v>
      </c>
      <c r="B109" t="s">
        <v>131</v>
      </c>
      <c r="C109" t="s">
        <v>386</v>
      </c>
      <c r="D109">
        <v>51100</v>
      </c>
      <c r="E109" t="s">
        <v>23</v>
      </c>
      <c r="F109" t="s">
        <v>9</v>
      </c>
    </row>
    <row r="110" spans="1:6" x14ac:dyDescent="0.25">
      <c r="A110">
        <v>109</v>
      </c>
      <c r="B110" t="s">
        <v>52</v>
      </c>
      <c r="C110" t="s">
        <v>375</v>
      </c>
      <c r="D110">
        <v>19500</v>
      </c>
      <c r="E110" t="s">
        <v>23</v>
      </c>
      <c r="F110" t="s">
        <v>9</v>
      </c>
    </row>
    <row r="111" spans="1:6" x14ac:dyDescent="0.25">
      <c r="A111">
        <v>110</v>
      </c>
      <c r="B111" t="s">
        <v>21</v>
      </c>
      <c r="C111" t="s">
        <v>376</v>
      </c>
      <c r="D111">
        <v>59400</v>
      </c>
      <c r="E111" t="s">
        <v>8</v>
      </c>
      <c r="F111" t="s">
        <v>20</v>
      </c>
    </row>
    <row r="112" spans="1:6" x14ac:dyDescent="0.25">
      <c r="A112">
        <v>111</v>
      </c>
      <c r="B112" t="s">
        <v>331</v>
      </c>
      <c r="C112" t="s">
        <v>377</v>
      </c>
      <c r="D112">
        <v>5400</v>
      </c>
      <c r="E112" t="s">
        <v>8</v>
      </c>
      <c r="F112" t="s">
        <v>9</v>
      </c>
    </row>
    <row r="113" spans="1:6" x14ac:dyDescent="0.25">
      <c r="A113">
        <v>112</v>
      </c>
      <c r="B113" t="s">
        <v>168</v>
      </c>
      <c r="C113" t="s">
        <v>378</v>
      </c>
      <c r="D113">
        <v>8500</v>
      </c>
      <c r="E113" t="s">
        <v>8</v>
      </c>
      <c r="F113" t="s">
        <v>9</v>
      </c>
    </row>
    <row r="114" spans="1:6" x14ac:dyDescent="0.25">
      <c r="A114">
        <v>113</v>
      </c>
      <c r="B114" t="s">
        <v>188</v>
      </c>
      <c r="C114" t="s">
        <v>379</v>
      </c>
      <c r="D114">
        <v>51500</v>
      </c>
      <c r="E114" t="s">
        <v>8</v>
      </c>
      <c r="F114" t="s">
        <v>9</v>
      </c>
    </row>
    <row r="115" spans="1:6" x14ac:dyDescent="0.25">
      <c r="A115">
        <v>114</v>
      </c>
      <c r="B115" t="s">
        <v>162</v>
      </c>
      <c r="C115" t="s">
        <v>380</v>
      </c>
      <c r="D115">
        <v>7900</v>
      </c>
      <c r="E115" t="s">
        <v>8</v>
      </c>
      <c r="F115" t="s">
        <v>9</v>
      </c>
    </row>
    <row r="116" spans="1:6" x14ac:dyDescent="0.25">
      <c r="A116">
        <v>115</v>
      </c>
      <c r="B116" t="s">
        <v>142</v>
      </c>
      <c r="C116" t="s">
        <v>381</v>
      </c>
      <c r="D116">
        <v>13200</v>
      </c>
      <c r="E116" t="s">
        <v>23</v>
      </c>
      <c r="F116" t="s">
        <v>9</v>
      </c>
    </row>
    <row r="117" spans="1:6" x14ac:dyDescent="0.25">
      <c r="A117">
        <v>116</v>
      </c>
      <c r="B117" t="s">
        <v>135</v>
      </c>
      <c r="C117" t="s">
        <v>382</v>
      </c>
      <c r="D117">
        <v>24100</v>
      </c>
      <c r="E117" t="s">
        <v>38</v>
      </c>
      <c r="F117" t="s">
        <v>20</v>
      </c>
    </row>
    <row r="118" spans="1:6" x14ac:dyDescent="0.25">
      <c r="A118">
        <v>117</v>
      </c>
      <c r="B118" t="s">
        <v>150</v>
      </c>
      <c r="C118" t="s">
        <v>383</v>
      </c>
      <c r="D118">
        <v>38900</v>
      </c>
      <c r="E118" t="s">
        <v>8</v>
      </c>
      <c r="F118" t="s">
        <v>9</v>
      </c>
    </row>
    <row r="119" spans="1:6" x14ac:dyDescent="0.25">
      <c r="A119">
        <v>118</v>
      </c>
      <c r="B119" t="s">
        <v>196</v>
      </c>
      <c r="C119" t="s">
        <v>384</v>
      </c>
      <c r="D119">
        <v>160800</v>
      </c>
      <c r="E119" t="s">
        <v>23</v>
      </c>
      <c r="F119" t="s">
        <v>9</v>
      </c>
    </row>
    <row r="120" spans="1:6" x14ac:dyDescent="0.25">
      <c r="A120">
        <v>119</v>
      </c>
      <c r="B120" t="s">
        <v>153</v>
      </c>
      <c r="C120" t="s">
        <v>385</v>
      </c>
      <c r="D120">
        <v>14700</v>
      </c>
      <c r="E120" t="s">
        <v>8</v>
      </c>
      <c r="F120" t="s">
        <v>20</v>
      </c>
    </row>
    <row r="121" spans="1:6" x14ac:dyDescent="0.25">
      <c r="A121">
        <v>120</v>
      </c>
      <c r="B121" t="s">
        <v>257</v>
      </c>
      <c r="C121" t="s">
        <v>386</v>
      </c>
      <c r="D121">
        <v>27800</v>
      </c>
      <c r="E121" t="s">
        <v>8</v>
      </c>
      <c r="F121" t="s">
        <v>9</v>
      </c>
    </row>
    <row r="122" spans="1:6" x14ac:dyDescent="0.25">
      <c r="A122">
        <v>121</v>
      </c>
      <c r="B122" t="s">
        <v>263</v>
      </c>
      <c r="C122" t="s">
        <v>375</v>
      </c>
      <c r="D122">
        <v>6500</v>
      </c>
      <c r="E122" t="s">
        <v>8</v>
      </c>
      <c r="F122" t="s">
        <v>9</v>
      </c>
    </row>
    <row r="123" spans="1:6" x14ac:dyDescent="0.25">
      <c r="A123">
        <v>122</v>
      </c>
      <c r="B123" t="s">
        <v>218</v>
      </c>
      <c r="C123" t="s">
        <v>376</v>
      </c>
      <c r="D123">
        <v>6000</v>
      </c>
      <c r="E123" t="s">
        <v>8</v>
      </c>
      <c r="F123" t="s">
        <v>9</v>
      </c>
    </row>
    <row r="124" spans="1:6" x14ac:dyDescent="0.25">
      <c r="A124">
        <v>123</v>
      </c>
      <c r="B124" t="s">
        <v>158</v>
      </c>
      <c r="C124" t="s">
        <v>377</v>
      </c>
      <c r="D124">
        <v>50800</v>
      </c>
      <c r="E124" t="s">
        <v>38</v>
      </c>
      <c r="F124" t="s">
        <v>20</v>
      </c>
    </row>
    <row r="125" spans="1:6" x14ac:dyDescent="0.25">
      <c r="A125">
        <v>124</v>
      </c>
      <c r="B125" t="s">
        <v>365</v>
      </c>
      <c r="C125" t="s">
        <v>378</v>
      </c>
      <c r="D125">
        <v>32400</v>
      </c>
      <c r="E125" t="s">
        <v>38</v>
      </c>
      <c r="F125" t="s">
        <v>20</v>
      </c>
    </row>
    <row r="126" spans="1:6" x14ac:dyDescent="0.25">
      <c r="A126">
        <v>125</v>
      </c>
      <c r="B126" t="s">
        <v>135</v>
      </c>
      <c r="C126" t="s">
        <v>379</v>
      </c>
      <c r="D126">
        <v>83800</v>
      </c>
      <c r="E126" t="s">
        <v>38</v>
      </c>
      <c r="F126" t="s">
        <v>20</v>
      </c>
    </row>
    <row r="127" spans="1:6" x14ac:dyDescent="0.25">
      <c r="A127">
        <v>126</v>
      </c>
      <c r="B127" t="s">
        <v>264</v>
      </c>
      <c r="C127" t="s">
        <v>380</v>
      </c>
      <c r="D127">
        <v>41500</v>
      </c>
      <c r="E127" t="s">
        <v>23</v>
      </c>
      <c r="F127" t="s">
        <v>9</v>
      </c>
    </row>
    <row r="128" spans="1:6" x14ac:dyDescent="0.25">
      <c r="A128">
        <v>127</v>
      </c>
      <c r="B128" t="s">
        <v>395</v>
      </c>
      <c r="C128" t="s">
        <v>381</v>
      </c>
      <c r="D128">
        <v>46300</v>
      </c>
      <c r="E128" t="s">
        <v>23</v>
      </c>
      <c r="F128" t="s">
        <v>9</v>
      </c>
    </row>
    <row r="129" spans="1:6" x14ac:dyDescent="0.25">
      <c r="A129">
        <v>128</v>
      </c>
      <c r="B129" t="s">
        <v>227</v>
      </c>
      <c r="C129" t="s">
        <v>382</v>
      </c>
      <c r="D129">
        <v>11700</v>
      </c>
      <c r="E129" t="s">
        <v>38</v>
      </c>
      <c r="F129" t="s">
        <v>20</v>
      </c>
    </row>
    <row r="130" spans="1:6" x14ac:dyDescent="0.25">
      <c r="A130">
        <v>129</v>
      </c>
      <c r="B130" t="s">
        <v>61</v>
      </c>
      <c r="C130" t="s">
        <v>383</v>
      </c>
      <c r="D130">
        <v>122200</v>
      </c>
      <c r="E130" t="s">
        <v>8</v>
      </c>
      <c r="F130" t="s">
        <v>20</v>
      </c>
    </row>
    <row r="131" spans="1:6" x14ac:dyDescent="0.25">
      <c r="A131">
        <v>130</v>
      </c>
      <c r="B131" t="s">
        <v>285</v>
      </c>
      <c r="C131" t="s">
        <v>384</v>
      </c>
      <c r="D131">
        <v>55100</v>
      </c>
      <c r="E131" t="s">
        <v>23</v>
      </c>
      <c r="F131" t="s">
        <v>9</v>
      </c>
    </row>
    <row r="132" spans="1:6" x14ac:dyDescent="0.25">
      <c r="A132">
        <v>131</v>
      </c>
      <c r="B132" t="s">
        <v>279</v>
      </c>
      <c r="C132" t="s">
        <v>385</v>
      </c>
      <c r="D132">
        <v>304600</v>
      </c>
      <c r="E132" t="s">
        <v>8</v>
      </c>
      <c r="F132" t="s">
        <v>9</v>
      </c>
    </row>
    <row r="133" spans="1:6" x14ac:dyDescent="0.25">
      <c r="A133">
        <v>132</v>
      </c>
      <c r="B133" t="s">
        <v>221</v>
      </c>
      <c r="C133" t="s">
        <v>386</v>
      </c>
      <c r="D133">
        <v>14100</v>
      </c>
      <c r="E133" t="s">
        <v>23</v>
      </c>
      <c r="F133" t="s">
        <v>9</v>
      </c>
    </row>
    <row r="134" spans="1:6" x14ac:dyDescent="0.25">
      <c r="A134">
        <v>133</v>
      </c>
      <c r="B134" t="s">
        <v>98</v>
      </c>
      <c r="C134" t="s">
        <v>375</v>
      </c>
      <c r="D134">
        <v>88800</v>
      </c>
      <c r="E134" t="s">
        <v>38</v>
      </c>
      <c r="F134" t="s">
        <v>9</v>
      </c>
    </row>
    <row r="135" spans="1:6" x14ac:dyDescent="0.25">
      <c r="A135">
        <v>134</v>
      </c>
      <c r="B135" t="s">
        <v>217</v>
      </c>
      <c r="C135" t="s">
        <v>376</v>
      </c>
      <c r="D135">
        <v>14700</v>
      </c>
      <c r="E135" t="s">
        <v>23</v>
      </c>
      <c r="F135" t="s">
        <v>20</v>
      </c>
    </row>
    <row r="136" spans="1:6" x14ac:dyDescent="0.25">
      <c r="A136">
        <v>135</v>
      </c>
      <c r="B136" t="s">
        <v>396</v>
      </c>
      <c r="C136" t="s">
        <v>377</v>
      </c>
      <c r="D136">
        <v>197300</v>
      </c>
      <c r="E136" t="s">
        <v>8</v>
      </c>
      <c r="F136" t="s">
        <v>9</v>
      </c>
    </row>
    <row r="137" spans="1:6" x14ac:dyDescent="0.25">
      <c r="A137">
        <v>136</v>
      </c>
      <c r="B137" t="s">
        <v>359</v>
      </c>
      <c r="C137" t="s">
        <v>378</v>
      </c>
      <c r="D137">
        <v>71800</v>
      </c>
      <c r="E137" t="s">
        <v>8</v>
      </c>
      <c r="F137" t="s">
        <v>9</v>
      </c>
    </row>
    <row r="138" spans="1:6" x14ac:dyDescent="0.25">
      <c r="A138">
        <v>137</v>
      </c>
      <c r="B138" t="s">
        <v>336</v>
      </c>
      <c r="C138" t="s">
        <v>379</v>
      </c>
      <c r="D138">
        <v>94000</v>
      </c>
      <c r="E138" t="s">
        <v>38</v>
      </c>
      <c r="F138" t="s">
        <v>9</v>
      </c>
    </row>
    <row r="139" spans="1:6" x14ac:dyDescent="0.25">
      <c r="A139">
        <v>138</v>
      </c>
      <c r="B139" t="s">
        <v>397</v>
      </c>
      <c r="C139" t="s">
        <v>380</v>
      </c>
      <c r="D139">
        <v>154400</v>
      </c>
      <c r="E139" t="s">
        <v>38</v>
      </c>
      <c r="F139" t="s">
        <v>20</v>
      </c>
    </row>
    <row r="140" spans="1:6" x14ac:dyDescent="0.25">
      <c r="A140">
        <v>139</v>
      </c>
      <c r="B140" t="s">
        <v>165</v>
      </c>
      <c r="C140" t="s">
        <v>381</v>
      </c>
      <c r="D140">
        <v>29000</v>
      </c>
      <c r="E140" t="s">
        <v>8</v>
      </c>
      <c r="F140" t="s">
        <v>9</v>
      </c>
    </row>
    <row r="141" spans="1:6" x14ac:dyDescent="0.25">
      <c r="A141">
        <v>140</v>
      </c>
      <c r="B141" t="s">
        <v>340</v>
      </c>
      <c r="C141" t="s">
        <v>382</v>
      </c>
      <c r="D141">
        <v>89600</v>
      </c>
      <c r="E141" t="s">
        <v>8</v>
      </c>
      <c r="F141" t="s">
        <v>9</v>
      </c>
    </row>
    <row r="142" spans="1:6" x14ac:dyDescent="0.25">
      <c r="A142">
        <v>141</v>
      </c>
      <c r="B142" t="s">
        <v>57</v>
      </c>
      <c r="C142" t="s">
        <v>383</v>
      </c>
      <c r="D142">
        <v>6800</v>
      </c>
      <c r="E142" t="s">
        <v>38</v>
      </c>
      <c r="F142" t="s">
        <v>20</v>
      </c>
    </row>
    <row r="143" spans="1:6" x14ac:dyDescent="0.25">
      <c r="A143">
        <v>142</v>
      </c>
      <c r="B143" t="s">
        <v>206</v>
      </c>
      <c r="C143" t="s">
        <v>384</v>
      </c>
      <c r="D143">
        <v>37600</v>
      </c>
      <c r="E143" t="s">
        <v>38</v>
      </c>
      <c r="F143" t="s">
        <v>9</v>
      </c>
    </row>
    <row r="144" spans="1:6" x14ac:dyDescent="0.25">
      <c r="A144">
        <v>143</v>
      </c>
      <c r="B144" t="s">
        <v>166</v>
      </c>
      <c r="C144" t="s">
        <v>385</v>
      </c>
      <c r="D144">
        <v>30500</v>
      </c>
      <c r="E144" t="s">
        <v>8</v>
      </c>
      <c r="F144" t="s">
        <v>20</v>
      </c>
    </row>
    <row r="145" spans="1:6" x14ac:dyDescent="0.25">
      <c r="A145">
        <v>144</v>
      </c>
      <c r="B145" t="s">
        <v>318</v>
      </c>
      <c r="C145" t="s">
        <v>386</v>
      </c>
      <c r="D145">
        <v>31400</v>
      </c>
      <c r="E145" t="s">
        <v>8</v>
      </c>
      <c r="F145" t="s">
        <v>9</v>
      </c>
    </row>
    <row r="146" spans="1:6" x14ac:dyDescent="0.25">
      <c r="A146">
        <v>145</v>
      </c>
      <c r="B146" t="s">
        <v>77</v>
      </c>
      <c r="C146" t="s">
        <v>375</v>
      </c>
      <c r="D146">
        <v>6300</v>
      </c>
      <c r="E146" t="s">
        <v>23</v>
      </c>
      <c r="F146" t="s">
        <v>9</v>
      </c>
    </row>
    <row r="147" spans="1:6" x14ac:dyDescent="0.25">
      <c r="A147">
        <v>146</v>
      </c>
      <c r="B147" t="s">
        <v>75</v>
      </c>
      <c r="C147" t="s">
        <v>376</v>
      </c>
      <c r="D147">
        <v>21200</v>
      </c>
      <c r="E147" t="s">
        <v>23</v>
      </c>
      <c r="F147" t="s">
        <v>9</v>
      </c>
    </row>
    <row r="148" spans="1:6" x14ac:dyDescent="0.25">
      <c r="A148">
        <v>147</v>
      </c>
      <c r="B148" t="s">
        <v>192</v>
      </c>
      <c r="C148" t="s">
        <v>377</v>
      </c>
      <c r="D148">
        <v>64600</v>
      </c>
      <c r="E148" t="s">
        <v>8</v>
      </c>
      <c r="F148" t="s">
        <v>9</v>
      </c>
    </row>
    <row r="149" spans="1:6" x14ac:dyDescent="0.25">
      <c r="A149">
        <v>148</v>
      </c>
      <c r="B149" t="s">
        <v>172</v>
      </c>
      <c r="C149" t="s">
        <v>378</v>
      </c>
      <c r="D149">
        <v>5000</v>
      </c>
      <c r="E149" t="s">
        <v>23</v>
      </c>
      <c r="F149" t="s">
        <v>9</v>
      </c>
    </row>
    <row r="150" spans="1:6" x14ac:dyDescent="0.25">
      <c r="A150">
        <v>149</v>
      </c>
      <c r="B150" t="s">
        <v>355</v>
      </c>
      <c r="C150" t="s">
        <v>379</v>
      </c>
      <c r="D150">
        <v>13400</v>
      </c>
      <c r="E150" t="s">
        <v>8</v>
      </c>
      <c r="F150" t="s">
        <v>9</v>
      </c>
    </row>
    <row r="151" spans="1:6" x14ac:dyDescent="0.25">
      <c r="A151">
        <v>150</v>
      </c>
      <c r="B151" t="s">
        <v>237</v>
      </c>
      <c r="C151" t="s">
        <v>380</v>
      </c>
      <c r="D151">
        <v>15400</v>
      </c>
      <c r="E151" t="s">
        <v>23</v>
      </c>
      <c r="F151" t="s">
        <v>9</v>
      </c>
    </row>
    <row r="152" spans="1:6" x14ac:dyDescent="0.25">
      <c r="A152">
        <v>151</v>
      </c>
      <c r="B152" t="s">
        <v>195</v>
      </c>
      <c r="C152" t="s">
        <v>381</v>
      </c>
      <c r="D152">
        <v>25600</v>
      </c>
      <c r="E152" t="s">
        <v>8</v>
      </c>
      <c r="F152" t="s">
        <v>9</v>
      </c>
    </row>
    <row r="153" spans="1:6" x14ac:dyDescent="0.25">
      <c r="A153">
        <v>152</v>
      </c>
      <c r="B153" t="s">
        <v>147</v>
      </c>
      <c r="C153" t="s">
        <v>379</v>
      </c>
      <c r="D153">
        <v>410000</v>
      </c>
      <c r="E153" t="s">
        <v>8</v>
      </c>
      <c r="F153" t="s">
        <v>9</v>
      </c>
    </row>
    <row r="154" spans="1:6" x14ac:dyDescent="0.25">
      <c r="A154">
        <v>153</v>
      </c>
      <c r="B154" t="s">
        <v>392</v>
      </c>
      <c r="C154" t="s">
        <v>383</v>
      </c>
      <c r="D154">
        <v>32300</v>
      </c>
      <c r="E154" t="s">
        <v>23</v>
      </c>
      <c r="F154" t="s">
        <v>9</v>
      </c>
    </row>
    <row r="155" spans="1:6" x14ac:dyDescent="0.25">
      <c r="A155">
        <v>154</v>
      </c>
      <c r="B155" t="s">
        <v>126</v>
      </c>
      <c r="C155" t="s">
        <v>384</v>
      </c>
      <c r="D155">
        <v>143900</v>
      </c>
      <c r="E155" t="s">
        <v>8</v>
      </c>
      <c r="F155" t="s">
        <v>9</v>
      </c>
    </row>
    <row r="156" spans="1:6" x14ac:dyDescent="0.25">
      <c r="A156">
        <v>155</v>
      </c>
      <c r="B156" t="s">
        <v>262</v>
      </c>
      <c r="C156" t="s">
        <v>385</v>
      </c>
      <c r="D156">
        <v>66100</v>
      </c>
      <c r="E156" t="s">
        <v>8</v>
      </c>
      <c r="F156" t="s">
        <v>9</v>
      </c>
    </row>
    <row r="157" spans="1:6" x14ac:dyDescent="0.25">
      <c r="A157">
        <v>156</v>
      </c>
      <c r="B157" t="s">
        <v>227</v>
      </c>
      <c r="C157" t="s">
        <v>386</v>
      </c>
      <c r="D157">
        <v>5500</v>
      </c>
      <c r="E157" t="s">
        <v>8</v>
      </c>
      <c r="F157" t="s">
        <v>20</v>
      </c>
    </row>
    <row r="158" spans="1:6" x14ac:dyDescent="0.25">
      <c r="A158">
        <v>157</v>
      </c>
      <c r="B158" t="s">
        <v>231</v>
      </c>
      <c r="C158" t="s">
        <v>375</v>
      </c>
      <c r="D158">
        <v>36700</v>
      </c>
      <c r="E158" t="s">
        <v>8</v>
      </c>
      <c r="F158" t="s">
        <v>9</v>
      </c>
    </row>
    <row r="159" spans="1:6" x14ac:dyDescent="0.25">
      <c r="A159">
        <v>158</v>
      </c>
      <c r="B159" t="s">
        <v>398</v>
      </c>
      <c r="C159" t="s">
        <v>376</v>
      </c>
      <c r="D159">
        <v>66500</v>
      </c>
      <c r="E159" t="s">
        <v>8</v>
      </c>
      <c r="F159" t="s">
        <v>9</v>
      </c>
    </row>
    <row r="160" spans="1:6" x14ac:dyDescent="0.25">
      <c r="A160">
        <v>159</v>
      </c>
      <c r="B160" t="s">
        <v>152</v>
      </c>
      <c r="C160" t="s">
        <v>377</v>
      </c>
      <c r="D160">
        <v>16100</v>
      </c>
      <c r="E160" t="s">
        <v>8</v>
      </c>
      <c r="F160" t="s">
        <v>9</v>
      </c>
    </row>
    <row r="161" spans="1:6" x14ac:dyDescent="0.25">
      <c r="A161">
        <v>160</v>
      </c>
      <c r="B161" t="s">
        <v>257</v>
      </c>
      <c r="C161" t="s">
        <v>378</v>
      </c>
      <c r="D161">
        <v>95900</v>
      </c>
      <c r="E161" t="s">
        <v>38</v>
      </c>
      <c r="F161" t="s">
        <v>20</v>
      </c>
    </row>
    <row r="162" spans="1:6" x14ac:dyDescent="0.25">
      <c r="A162">
        <v>161</v>
      </c>
      <c r="B162" t="s">
        <v>187</v>
      </c>
      <c r="C162" t="s">
        <v>379</v>
      </c>
      <c r="D162">
        <v>208700</v>
      </c>
      <c r="E162" t="s">
        <v>8</v>
      </c>
      <c r="F162" t="s">
        <v>9</v>
      </c>
    </row>
    <row r="163" spans="1:6" x14ac:dyDescent="0.25">
      <c r="A163">
        <v>162</v>
      </c>
      <c r="B163" t="s">
        <v>272</v>
      </c>
      <c r="C163" t="s">
        <v>380</v>
      </c>
      <c r="D163">
        <v>30000</v>
      </c>
      <c r="E163" t="s">
        <v>38</v>
      </c>
      <c r="F163" t="s">
        <v>20</v>
      </c>
    </row>
    <row r="164" spans="1:6" x14ac:dyDescent="0.25">
      <c r="A164">
        <v>163</v>
      </c>
      <c r="B164" t="s">
        <v>28</v>
      </c>
      <c r="C164" t="s">
        <v>381</v>
      </c>
      <c r="D164">
        <v>58500</v>
      </c>
      <c r="E164" t="s">
        <v>38</v>
      </c>
      <c r="F164" t="s">
        <v>20</v>
      </c>
    </row>
    <row r="165" spans="1:6" x14ac:dyDescent="0.25">
      <c r="A165">
        <v>164</v>
      </c>
      <c r="B165" t="s">
        <v>107</v>
      </c>
      <c r="C165" t="s">
        <v>382</v>
      </c>
      <c r="D165">
        <v>5000</v>
      </c>
      <c r="E165" t="s">
        <v>8</v>
      </c>
      <c r="F165" t="s">
        <v>9</v>
      </c>
    </row>
    <row r="166" spans="1:6" x14ac:dyDescent="0.25">
      <c r="A166">
        <v>165</v>
      </c>
      <c r="B166" t="s">
        <v>368</v>
      </c>
      <c r="C166" t="s">
        <v>383</v>
      </c>
      <c r="D166">
        <v>14400</v>
      </c>
      <c r="E166" t="s">
        <v>23</v>
      </c>
      <c r="F166" t="s">
        <v>9</v>
      </c>
    </row>
    <row r="167" spans="1:6" x14ac:dyDescent="0.25">
      <c r="A167">
        <v>166</v>
      </c>
      <c r="B167" t="s">
        <v>200</v>
      </c>
      <c r="C167" t="s">
        <v>384</v>
      </c>
      <c r="D167">
        <v>97100</v>
      </c>
      <c r="E167" t="s">
        <v>38</v>
      </c>
      <c r="F167" t="s">
        <v>20</v>
      </c>
    </row>
    <row r="168" spans="1:6" x14ac:dyDescent="0.25">
      <c r="A168">
        <v>167</v>
      </c>
      <c r="B168" t="s">
        <v>133</v>
      </c>
      <c r="C168" t="s">
        <v>385</v>
      </c>
      <c r="D168">
        <v>9800</v>
      </c>
      <c r="E168" t="s">
        <v>8</v>
      </c>
      <c r="F168" t="s">
        <v>9</v>
      </c>
    </row>
    <row r="169" spans="1:6" x14ac:dyDescent="0.25">
      <c r="A169">
        <v>168</v>
      </c>
      <c r="B169" t="s">
        <v>256</v>
      </c>
      <c r="C169" t="s">
        <v>386</v>
      </c>
      <c r="D169">
        <v>42900</v>
      </c>
      <c r="E169" t="s">
        <v>8</v>
      </c>
      <c r="F169" t="s">
        <v>9</v>
      </c>
    </row>
    <row r="170" spans="1:6" x14ac:dyDescent="0.25">
      <c r="A170">
        <v>169</v>
      </c>
      <c r="B170" t="s">
        <v>46</v>
      </c>
      <c r="C170" t="s">
        <v>375</v>
      </c>
      <c r="D170">
        <v>60500</v>
      </c>
      <c r="E170" t="s">
        <v>8</v>
      </c>
      <c r="F170" t="s">
        <v>9</v>
      </c>
    </row>
    <row r="171" spans="1:6" x14ac:dyDescent="0.25">
      <c r="A171">
        <v>170</v>
      </c>
      <c r="B171" t="s">
        <v>366</v>
      </c>
      <c r="C171" t="s">
        <v>376</v>
      </c>
      <c r="D171">
        <v>25800</v>
      </c>
      <c r="E171" t="s">
        <v>23</v>
      </c>
      <c r="F171" t="s">
        <v>20</v>
      </c>
    </row>
    <row r="172" spans="1:6" x14ac:dyDescent="0.25">
      <c r="A172">
        <v>171</v>
      </c>
      <c r="B172" t="s">
        <v>197</v>
      </c>
      <c r="C172" t="s">
        <v>377</v>
      </c>
      <c r="D172">
        <v>101400</v>
      </c>
      <c r="E172" t="s">
        <v>23</v>
      </c>
      <c r="F172" t="s">
        <v>9</v>
      </c>
    </row>
    <row r="173" spans="1:6" x14ac:dyDescent="0.25">
      <c r="A173">
        <v>172</v>
      </c>
      <c r="B173" t="s">
        <v>337</v>
      </c>
      <c r="C173" t="s">
        <v>378</v>
      </c>
      <c r="D173">
        <v>21500</v>
      </c>
      <c r="E173" t="s">
        <v>8</v>
      </c>
      <c r="F173" t="s">
        <v>9</v>
      </c>
    </row>
    <row r="174" spans="1:6" x14ac:dyDescent="0.25">
      <c r="A174">
        <v>173</v>
      </c>
      <c r="B174" t="s">
        <v>218</v>
      </c>
      <c r="C174" t="s">
        <v>379</v>
      </c>
      <c r="D174">
        <v>192200</v>
      </c>
      <c r="E174" t="s">
        <v>8</v>
      </c>
      <c r="F174" t="s">
        <v>9</v>
      </c>
    </row>
    <row r="175" spans="1:6" x14ac:dyDescent="0.25">
      <c r="A175">
        <v>174</v>
      </c>
      <c r="B175" t="s">
        <v>340</v>
      </c>
      <c r="C175" t="s">
        <v>380</v>
      </c>
      <c r="D175">
        <v>5000</v>
      </c>
      <c r="E175" t="s">
        <v>38</v>
      </c>
      <c r="F175" t="s">
        <v>20</v>
      </c>
    </row>
    <row r="176" spans="1:6" x14ac:dyDescent="0.25">
      <c r="A176">
        <v>175</v>
      </c>
      <c r="B176" t="s">
        <v>354</v>
      </c>
      <c r="C176" t="s">
        <v>381</v>
      </c>
      <c r="D176">
        <v>23700</v>
      </c>
      <c r="E176" t="s">
        <v>23</v>
      </c>
      <c r="F176" t="s">
        <v>9</v>
      </c>
    </row>
    <row r="177" spans="1:6" x14ac:dyDescent="0.25">
      <c r="A177">
        <v>176</v>
      </c>
      <c r="B177" t="s">
        <v>32</v>
      </c>
      <c r="C177" t="s">
        <v>382</v>
      </c>
      <c r="D177">
        <v>21100</v>
      </c>
      <c r="E177" t="s">
        <v>23</v>
      </c>
      <c r="F177" t="s">
        <v>9</v>
      </c>
    </row>
    <row r="178" spans="1:6" x14ac:dyDescent="0.25">
      <c r="A178">
        <v>177</v>
      </c>
      <c r="B178" t="s">
        <v>122</v>
      </c>
      <c r="C178" t="s">
        <v>383</v>
      </c>
      <c r="D178">
        <v>34400</v>
      </c>
      <c r="E178" t="s">
        <v>8</v>
      </c>
      <c r="F178" t="s">
        <v>9</v>
      </c>
    </row>
    <row r="179" spans="1:6" x14ac:dyDescent="0.25">
      <c r="A179">
        <v>178</v>
      </c>
      <c r="B179" t="s">
        <v>345</v>
      </c>
      <c r="C179" t="s">
        <v>384</v>
      </c>
      <c r="D179">
        <v>115400</v>
      </c>
      <c r="E179" t="s">
        <v>38</v>
      </c>
      <c r="F179" t="s">
        <v>20</v>
      </c>
    </row>
    <row r="180" spans="1:6" x14ac:dyDescent="0.25">
      <c r="A180">
        <v>179</v>
      </c>
      <c r="B180" t="s">
        <v>399</v>
      </c>
      <c r="C180" t="s">
        <v>385</v>
      </c>
      <c r="D180">
        <v>11200</v>
      </c>
      <c r="E180" t="s">
        <v>8</v>
      </c>
      <c r="F180" t="s">
        <v>9</v>
      </c>
    </row>
    <row r="181" spans="1:6" x14ac:dyDescent="0.25">
      <c r="A181">
        <v>180</v>
      </c>
      <c r="B181" t="s">
        <v>214</v>
      </c>
      <c r="C181" t="s">
        <v>386</v>
      </c>
      <c r="D181">
        <v>85400</v>
      </c>
      <c r="E181" t="s">
        <v>23</v>
      </c>
      <c r="F181" t="s">
        <v>9</v>
      </c>
    </row>
    <row r="182" spans="1:6" x14ac:dyDescent="0.25">
      <c r="A182">
        <v>181</v>
      </c>
      <c r="B182" t="s">
        <v>44</v>
      </c>
      <c r="C182" t="s">
        <v>375</v>
      </c>
      <c r="D182">
        <v>25200</v>
      </c>
      <c r="E182" t="s">
        <v>8</v>
      </c>
      <c r="F182" t="s">
        <v>9</v>
      </c>
    </row>
    <row r="183" spans="1:6" x14ac:dyDescent="0.25">
      <c r="A183">
        <v>182</v>
      </c>
      <c r="B183" t="s">
        <v>188</v>
      </c>
      <c r="C183" t="s">
        <v>376</v>
      </c>
      <c r="D183">
        <v>21500</v>
      </c>
      <c r="E183" t="s">
        <v>38</v>
      </c>
      <c r="F183" t="s">
        <v>9</v>
      </c>
    </row>
    <row r="184" spans="1:6" x14ac:dyDescent="0.25">
      <c r="A184">
        <v>183</v>
      </c>
      <c r="B184" t="s">
        <v>202</v>
      </c>
      <c r="C184" t="s">
        <v>377</v>
      </c>
      <c r="D184">
        <v>10600</v>
      </c>
      <c r="E184" t="s">
        <v>38</v>
      </c>
      <c r="F184" t="s">
        <v>9</v>
      </c>
    </row>
    <row r="185" spans="1:6" x14ac:dyDescent="0.25">
      <c r="A185">
        <v>184</v>
      </c>
      <c r="B185" t="s">
        <v>269</v>
      </c>
      <c r="C185" t="s">
        <v>378</v>
      </c>
      <c r="D185">
        <v>44400</v>
      </c>
      <c r="E185" t="s">
        <v>8</v>
      </c>
      <c r="F185" t="s">
        <v>9</v>
      </c>
    </row>
    <row r="186" spans="1:6" x14ac:dyDescent="0.25">
      <c r="A186">
        <v>185</v>
      </c>
      <c r="B186" t="s">
        <v>226</v>
      </c>
      <c r="C186" t="s">
        <v>379</v>
      </c>
      <c r="D186">
        <v>181400</v>
      </c>
      <c r="E186" t="s">
        <v>8</v>
      </c>
      <c r="F186" t="s">
        <v>9</v>
      </c>
    </row>
    <row r="187" spans="1:6" x14ac:dyDescent="0.25">
      <c r="A187">
        <v>186</v>
      </c>
      <c r="B187" t="s">
        <v>171</v>
      </c>
      <c r="C187" t="s">
        <v>380</v>
      </c>
      <c r="D187">
        <v>17400</v>
      </c>
      <c r="E187" t="s">
        <v>23</v>
      </c>
      <c r="F187" t="s">
        <v>9</v>
      </c>
    </row>
    <row r="188" spans="1:6" x14ac:dyDescent="0.25">
      <c r="A188">
        <v>187</v>
      </c>
      <c r="B188" t="s">
        <v>92</v>
      </c>
      <c r="C188" t="s">
        <v>381</v>
      </c>
      <c r="D188">
        <v>14900</v>
      </c>
      <c r="E188" t="s">
        <v>23</v>
      </c>
      <c r="F188" t="s">
        <v>9</v>
      </c>
    </row>
    <row r="189" spans="1:6" x14ac:dyDescent="0.25">
      <c r="A189">
        <v>188</v>
      </c>
      <c r="B189" t="s">
        <v>247</v>
      </c>
      <c r="C189" t="s">
        <v>382</v>
      </c>
      <c r="D189">
        <v>5000</v>
      </c>
      <c r="E189" t="s">
        <v>38</v>
      </c>
      <c r="F189" t="s">
        <v>9</v>
      </c>
    </row>
    <row r="190" spans="1:6" x14ac:dyDescent="0.25">
      <c r="A190">
        <v>189</v>
      </c>
      <c r="B190" t="s">
        <v>98</v>
      </c>
      <c r="C190" t="s">
        <v>383</v>
      </c>
      <c r="D190">
        <v>5000</v>
      </c>
      <c r="E190" t="s">
        <v>8</v>
      </c>
      <c r="F190" t="s">
        <v>9</v>
      </c>
    </row>
    <row r="191" spans="1:6" x14ac:dyDescent="0.25">
      <c r="A191">
        <v>190</v>
      </c>
      <c r="B191" t="s">
        <v>214</v>
      </c>
      <c r="C191" t="s">
        <v>384</v>
      </c>
      <c r="D191">
        <v>7700</v>
      </c>
      <c r="E191" t="s">
        <v>8</v>
      </c>
      <c r="F191" t="s">
        <v>9</v>
      </c>
    </row>
    <row r="192" spans="1:6" x14ac:dyDescent="0.25">
      <c r="A192">
        <v>191</v>
      </c>
      <c r="B192" t="s">
        <v>200</v>
      </c>
      <c r="C192" t="s">
        <v>385</v>
      </c>
      <c r="D192">
        <v>60700</v>
      </c>
      <c r="E192" t="s">
        <v>8</v>
      </c>
      <c r="F192" t="s">
        <v>9</v>
      </c>
    </row>
    <row r="193" spans="1:6" x14ac:dyDescent="0.25">
      <c r="A193">
        <v>192</v>
      </c>
      <c r="B193" t="s">
        <v>357</v>
      </c>
      <c r="C193" t="s">
        <v>386</v>
      </c>
      <c r="D193">
        <v>10000</v>
      </c>
      <c r="E193" t="s">
        <v>8</v>
      </c>
      <c r="F193" t="s">
        <v>9</v>
      </c>
    </row>
    <row r="194" spans="1:6" x14ac:dyDescent="0.25">
      <c r="A194">
        <v>193</v>
      </c>
      <c r="B194" t="s">
        <v>390</v>
      </c>
      <c r="C194" t="s">
        <v>375</v>
      </c>
      <c r="D194">
        <v>8600</v>
      </c>
      <c r="E194" t="s">
        <v>38</v>
      </c>
      <c r="F194" t="s">
        <v>20</v>
      </c>
    </row>
    <row r="195" spans="1:6" x14ac:dyDescent="0.25">
      <c r="A195">
        <v>194</v>
      </c>
      <c r="B195" t="s">
        <v>95</v>
      </c>
      <c r="C195" t="s">
        <v>376</v>
      </c>
      <c r="D195">
        <v>15800</v>
      </c>
      <c r="E195" t="s">
        <v>8</v>
      </c>
      <c r="F195" t="s">
        <v>9</v>
      </c>
    </row>
    <row r="196" spans="1:6" x14ac:dyDescent="0.25">
      <c r="A196">
        <v>195</v>
      </c>
      <c r="B196" t="s">
        <v>150</v>
      </c>
      <c r="C196" t="s">
        <v>380</v>
      </c>
      <c r="D196">
        <v>0</v>
      </c>
      <c r="E196" t="s">
        <v>38</v>
      </c>
      <c r="F196" t="s">
        <v>20</v>
      </c>
    </row>
    <row r="197" spans="1:6" x14ac:dyDescent="0.25">
      <c r="A197">
        <v>196</v>
      </c>
      <c r="B197" t="s">
        <v>369</v>
      </c>
      <c r="C197" t="s">
        <v>378</v>
      </c>
      <c r="D197">
        <v>7500</v>
      </c>
      <c r="E197" t="s">
        <v>8</v>
      </c>
      <c r="F197" t="s">
        <v>9</v>
      </c>
    </row>
    <row r="198" spans="1:6" x14ac:dyDescent="0.25">
      <c r="A198">
        <v>197</v>
      </c>
      <c r="B198" t="s">
        <v>371</v>
      </c>
      <c r="C198" t="s">
        <v>379</v>
      </c>
      <c r="D198">
        <v>5300</v>
      </c>
      <c r="E198" t="s">
        <v>8</v>
      </c>
      <c r="F198" t="s">
        <v>9</v>
      </c>
    </row>
    <row r="199" spans="1:6" x14ac:dyDescent="0.25">
      <c r="A199">
        <v>198</v>
      </c>
      <c r="B199" t="s">
        <v>354</v>
      </c>
      <c r="C199" t="s">
        <v>380</v>
      </c>
      <c r="D199">
        <v>34200</v>
      </c>
      <c r="E199" t="s">
        <v>8</v>
      </c>
      <c r="F199" t="s">
        <v>9</v>
      </c>
    </row>
    <row r="200" spans="1:6" x14ac:dyDescent="0.25">
      <c r="A200">
        <v>199</v>
      </c>
      <c r="B200" t="s">
        <v>266</v>
      </c>
      <c r="C200" t="s">
        <v>376</v>
      </c>
      <c r="D200">
        <v>480000</v>
      </c>
      <c r="E200" t="s">
        <v>38</v>
      </c>
      <c r="F200" t="s">
        <v>20</v>
      </c>
    </row>
    <row r="201" spans="1:6" x14ac:dyDescent="0.25">
      <c r="A201">
        <v>200</v>
      </c>
      <c r="B201" t="s">
        <v>238</v>
      </c>
      <c r="C201" t="s">
        <v>382</v>
      </c>
      <c r="D201">
        <v>15400</v>
      </c>
      <c r="E201" t="s">
        <v>38</v>
      </c>
      <c r="F201" t="s">
        <v>20</v>
      </c>
    </row>
    <row r="202" spans="1:6" x14ac:dyDescent="0.25">
      <c r="A202">
        <v>201</v>
      </c>
      <c r="B202" t="s">
        <v>131</v>
      </c>
      <c r="C202" t="s">
        <v>383</v>
      </c>
      <c r="D202">
        <v>62200</v>
      </c>
      <c r="E202" t="s">
        <v>8</v>
      </c>
      <c r="F202" t="s">
        <v>9</v>
      </c>
    </row>
    <row r="203" spans="1:6" x14ac:dyDescent="0.25">
      <c r="A203">
        <v>202</v>
      </c>
      <c r="B203" t="s">
        <v>67</v>
      </c>
      <c r="C203" t="s">
        <v>384</v>
      </c>
      <c r="D203">
        <v>65900</v>
      </c>
      <c r="E203" t="s">
        <v>23</v>
      </c>
      <c r="F203" t="s">
        <v>9</v>
      </c>
    </row>
    <row r="204" spans="1:6" x14ac:dyDescent="0.25">
      <c r="A204">
        <v>203</v>
      </c>
      <c r="B204" t="s">
        <v>244</v>
      </c>
      <c r="C204" t="s">
        <v>385</v>
      </c>
      <c r="D204">
        <v>69900</v>
      </c>
      <c r="E204" t="s">
        <v>8</v>
      </c>
      <c r="F204" t="s">
        <v>20</v>
      </c>
    </row>
    <row r="205" spans="1:6" x14ac:dyDescent="0.25">
      <c r="A205">
        <v>204</v>
      </c>
      <c r="B205" t="s">
        <v>218</v>
      </c>
      <c r="C205" t="s">
        <v>386</v>
      </c>
      <c r="D205">
        <v>93100</v>
      </c>
      <c r="E205" t="s">
        <v>8</v>
      </c>
      <c r="F205" t="s">
        <v>20</v>
      </c>
    </row>
    <row r="206" spans="1:6" x14ac:dyDescent="0.25">
      <c r="A206">
        <v>205</v>
      </c>
      <c r="B206" t="s">
        <v>12</v>
      </c>
      <c r="C206" t="s">
        <v>375</v>
      </c>
      <c r="D206">
        <v>20500</v>
      </c>
      <c r="E206" t="s">
        <v>38</v>
      </c>
      <c r="F206" t="s">
        <v>20</v>
      </c>
    </row>
    <row r="207" spans="1:6" x14ac:dyDescent="0.25">
      <c r="A207">
        <v>206</v>
      </c>
      <c r="B207" t="s">
        <v>107</v>
      </c>
      <c r="C207" t="s">
        <v>376</v>
      </c>
      <c r="D207">
        <v>17900</v>
      </c>
      <c r="E207" t="s">
        <v>8</v>
      </c>
      <c r="F207" t="s">
        <v>9</v>
      </c>
    </row>
    <row r="208" spans="1:6" x14ac:dyDescent="0.25">
      <c r="A208">
        <v>207</v>
      </c>
      <c r="B208" t="s">
        <v>136</v>
      </c>
      <c r="C208" t="s">
        <v>377</v>
      </c>
      <c r="D208">
        <v>13000</v>
      </c>
      <c r="E208" t="s">
        <v>38</v>
      </c>
      <c r="F208" t="s">
        <v>20</v>
      </c>
    </row>
    <row r="209" spans="1:6" x14ac:dyDescent="0.25">
      <c r="A209">
        <v>208</v>
      </c>
      <c r="B209" t="s">
        <v>117</v>
      </c>
      <c r="C209" t="s">
        <v>378</v>
      </c>
      <c r="D209">
        <v>89100</v>
      </c>
      <c r="E209" t="s">
        <v>23</v>
      </c>
      <c r="F209" t="s">
        <v>9</v>
      </c>
    </row>
    <row r="210" spans="1:6" x14ac:dyDescent="0.25">
      <c r="A210">
        <v>209</v>
      </c>
      <c r="B210" t="s">
        <v>290</v>
      </c>
      <c r="C210" t="s">
        <v>379</v>
      </c>
      <c r="D210">
        <v>54800</v>
      </c>
      <c r="E210" t="s">
        <v>23</v>
      </c>
      <c r="F210" t="s">
        <v>9</v>
      </c>
    </row>
    <row r="211" spans="1:6" x14ac:dyDescent="0.25">
      <c r="A211">
        <v>210</v>
      </c>
      <c r="B211" t="s">
        <v>121</v>
      </c>
      <c r="C211" t="s">
        <v>380</v>
      </c>
      <c r="D211">
        <v>5000</v>
      </c>
      <c r="E211" t="s">
        <v>23</v>
      </c>
      <c r="F211" t="s">
        <v>9</v>
      </c>
    </row>
    <row r="212" spans="1:6" x14ac:dyDescent="0.25">
      <c r="A212">
        <v>211</v>
      </c>
      <c r="B212" t="s">
        <v>127</v>
      </c>
      <c r="C212" t="s">
        <v>381</v>
      </c>
      <c r="D212">
        <v>57600</v>
      </c>
      <c r="E212" t="s">
        <v>38</v>
      </c>
      <c r="F212" t="s">
        <v>9</v>
      </c>
    </row>
    <row r="213" spans="1:6" x14ac:dyDescent="0.25">
      <c r="A213">
        <v>212</v>
      </c>
      <c r="B213" t="s">
        <v>349</v>
      </c>
      <c r="C213" t="s">
        <v>382</v>
      </c>
      <c r="D213">
        <v>78500</v>
      </c>
      <c r="E213" t="s">
        <v>8</v>
      </c>
      <c r="F213" t="s">
        <v>9</v>
      </c>
    </row>
    <row r="214" spans="1:6" x14ac:dyDescent="0.25">
      <c r="A214">
        <v>213</v>
      </c>
      <c r="B214" t="s">
        <v>14</v>
      </c>
      <c r="C214" t="s">
        <v>383</v>
      </c>
      <c r="D214">
        <v>33900</v>
      </c>
      <c r="E214" t="s">
        <v>8</v>
      </c>
      <c r="F214" t="s">
        <v>9</v>
      </c>
    </row>
    <row r="215" spans="1:6" x14ac:dyDescent="0.25">
      <c r="A215">
        <v>214</v>
      </c>
      <c r="B215" t="s">
        <v>147</v>
      </c>
      <c r="C215" t="s">
        <v>384</v>
      </c>
      <c r="D215">
        <v>31100</v>
      </c>
      <c r="E215" t="s">
        <v>23</v>
      </c>
      <c r="F215" t="s">
        <v>9</v>
      </c>
    </row>
    <row r="216" spans="1:6" x14ac:dyDescent="0.25">
      <c r="A216">
        <v>215</v>
      </c>
      <c r="B216" t="s">
        <v>193</v>
      </c>
      <c r="C216" t="s">
        <v>385</v>
      </c>
      <c r="D216">
        <v>51900</v>
      </c>
      <c r="E216" t="s">
        <v>38</v>
      </c>
      <c r="F216" t="s">
        <v>20</v>
      </c>
    </row>
    <row r="217" spans="1:6" x14ac:dyDescent="0.25">
      <c r="A217">
        <v>216</v>
      </c>
      <c r="B217" t="s">
        <v>10</v>
      </c>
      <c r="C217" t="s">
        <v>386</v>
      </c>
      <c r="D217">
        <v>34700</v>
      </c>
      <c r="E217" t="s">
        <v>8</v>
      </c>
      <c r="F217" t="s">
        <v>9</v>
      </c>
    </row>
    <row r="218" spans="1:6" x14ac:dyDescent="0.25">
      <c r="A218">
        <v>217</v>
      </c>
      <c r="B218" t="s">
        <v>287</v>
      </c>
      <c r="C218" t="s">
        <v>375</v>
      </c>
      <c r="D218">
        <v>12600</v>
      </c>
      <c r="E218" t="s">
        <v>8</v>
      </c>
      <c r="F218" t="s">
        <v>9</v>
      </c>
    </row>
    <row r="219" spans="1:6" x14ac:dyDescent="0.25">
      <c r="A219">
        <v>218</v>
      </c>
      <c r="B219" t="s">
        <v>48</v>
      </c>
      <c r="C219" t="s">
        <v>376</v>
      </c>
      <c r="D219">
        <v>276300</v>
      </c>
      <c r="E219" t="s">
        <v>8</v>
      </c>
      <c r="F219" t="s">
        <v>9</v>
      </c>
    </row>
    <row r="220" spans="1:6" x14ac:dyDescent="0.25">
      <c r="A220">
        <v>219</v>
      </c>
      <c r="B220" t="s">
        <v>95</v>
      </c>
      <c r="C220" t="s">
        <v>377</v>
      </c>
      <c r="D220">
        <v>60400</v>
      </c>
      <c r="E220" t="s">
        <v>23</v>
      </c>
      <c r="F220" t="s">
        <v>9</v>
      </c>
    </row>
    <row r="221" spans="1:6" x14ac:dyDescent="0.25">
      <c r="A221">
        <v>220</v>
      </c>
      <c r="B221" t="s">
        <v>80</v>
      </c>
      <c r="C221" t="s">
        <v>378</v>
      </c>
      <c r="D221">
        <v>46900</v>
      </c>
      <c r="E221" t="s">
        <v>8</v>
      </c>
      <c r="F221" t="s">
        <v>9</v>
      </c>
    </row>
    <row r="222" spans="1:6" x14ac:dyDescent="0.25">
      <c r="A222">
        <v>221</v>
      </c>
      <c r="B222" t="s">
        <v>116</v>
      </c>
      <c r="C222" t="s">
        <v>379</v>
      </c>
      <c r="D222">
        <v>5000</v>
      </c>
      <c r="E222" t="s">
        <v>8</v>
      </c>
      <c r="F222" t="s">
        <v>9</v>
      </c>
    </row>
    <row r="223" spans="1:6" x14ac:dyDescent="0.25">
      <c r="A223">
        <v>222</v>
      </c>
      <c r="B223" t="s">
        <v>136</v>
      </c>
      <c r="C223" t="s">
        <v>380</v>
      </c>
      <c r="D223">
        <v>56700</v>
      </c>
      <c r="E223" t="s">
        <v>38</v>
      </c>
      <c r="F223" t="s">
        <v>20</v>
      </c>
    </row>
    <row r="224" spans="1:6" x14ac:dyDescent="0.25">
      <c r="A224">
        <v>223</v>
      </c>
      <c r="B224" t="s">
        <v>365</v>
      </c>
      <c r="C224" t="s">
        <v>381</v>
      </c>
      <c r="D224">
        <v>6800</v>
      </c>
      <c r="E224" t="s">
        <v>23</v>
      </c>
      <c r="F224" t="s">
        <v>9</v>
      </c>
    </row>
    <row r="225" spans="1:6" x14ac:dyDescent="0.25">
      <c r="A225">
        <v>224</v>
      </c>
      <c r="B225" t="s">
        <v>171</v>
      </c>
      <c r="C225" t="s">
        <v>382</v>
      </c>
      <c r="D225">
        <v>97200</v>
      </c>
      <c r="E225" t="s">
        <v>38</v>
      </c>
      <c r="F225" t="s">
        <v>20</v>
      </c>
    </row>
    <row r="226" spans="1:6" x14ac:dyDescent="0.25">
      <c r="A226">
        <v>225</v>
      </c>
      <c r="B226" t="s">
        <v>120</v>
      </c>
      <c r="C226" t="s">
        <v>383</v>
      </c>
      <c r="D226">
        <v>30900</v>
      </c>
      <c r="E226" t="s">
        <v>23</v>
      </c>
      <c r="F226" t="s">
        <v>9</v>
      </c>
    </row>
    <row r="227" spans="1:6" x14ac:dyDescent="0.25">
      <c r="A227">
        <v>226</v>
      </c>
      <c r="B227" t="s">
        <v>169</v>
      </c>
      <c r="C227" t="s">
        <v>384</v>
      </c>
      <c r="D227">
        <v>92900</v>
      </c>
      <c r="E227" t="s">
        <v>8</v>
      </c>
      <c r="F227" t="s">
        <v>9</v>
      </c>
    </row>
    <row r="228" spans="1:6" x14ac:dyDescent="0.25">
      <c r="A228">
        <v>227</v>
      </c>
      <c r="B228" t="s">
        <v>178</v>
      </c>
      <c r="C228" t="s">
        <v>385</v>
      </c>
      <c r="D228">
        <v>24000</v>
      </c>
      <c r="E228" t="s">
        <v>8</v>
      </c>
      <c r="F228" t="s">
        <v>9</v>
      </c>
    </row>
    <row r="229" spans="1:6" x14ac:dyDescent="0.25">
      <c r="A229">
        <v>228</v>
      </c>
      <c r="B229" t="s">
        <v>372</v>
      </c>
      <c r="C229" t="s">
        <v>386</v>
      </c>
      <c r="D229">
        <v>28100</v>
      </c>
      <c r="E229" t="s">
        <v>38</v>
      </c>
      <c r="F229" t="s">
        <v>20</v>
      </c>
    </row>
    <row r="230" spans="1:6" x14ac:dyDescent="0.25">
      <c r="A230">
        <v>229</v>
      </c>
      <c r="B230" t="s">
        <v>60</v>
      </c>
      <c r="C230" t="s">
        <v>375</v>
      </c>
      <c r="D230">
        <v>120400</v>
      </c>
      <c r="E230" t="s">
        <v>8</v>
      </c>
      <c r="F230" t="s">
        <v>20</v>
      </c>
    </row>
    <row r="231" spans="1:6" x14ac:dyDescent="0.25">
      <c r="A231">
        <v>230</v>
      </c>
      <c r="B231" t="s">
        <v>249</v>
      </c>
      <c r="C231" t="s">
        <v>376</v>
      </c>
      <c r="D231">
        <v>56100</v>
      </c>
      <c r="E231" t="s">
        <v>38</v>
      </c>
      <c r="F231" t="s">
        <v>20</v>
      </c>
    </row>
    <row r="232" spans="1:6" x14ac:dyDescent="0.25">
      <c r="A232">
        <v>231</v>
      </c>
      <c r="B232" t="s">
        <v>396</v>
      </c>
      <c r="C232" t="s">
        <v>377</v>
      </c>
      <c r="D232">
        <v>22700</v>
      </c>
      <c r="E232" t="s">
        <v>38</v>
      </c>
      <c r="F232" t="s">
        <v>20</v>
      </c>
    </row>
    <row r="233" spans="1:6" x14ac:dyDescent="0.25">
      <c r="A233">
        <v>232</v>
      </c>
      <c r="B233" t="s">
        <v>320</v>
      </c>
      <c r="C233" t="s">
        <v>378</v>
      </c>
      <c r="D233">
        <v>83100</v>
      </c>
      <c r="E233" t="s">
        <v>8</v>
      </c>
      <c r="F233" t="s">
        <v>9</v>
      </c>
    </row>
    <row r="234" spans="1:6" x14ac:dyDescent="0.25">
      <c r="A234">
        <v>233</v>
      </c>
      <c r="B234" t="s">
        <v>218</v>
      </c>
      <c r="C234" t="s">
        <v>379</v>
      </c>
      <c r="D234">
        <v>5000</v>
      </c>
      <c r="E234" t="s">
        <v>38</v>
      </c>
      <c r="F234" t="s">
        <v>20</v>
      </c>
    </row>
    <row r="235" spans="1:6" x14ac:dyDescent="0.25">
      <c r="A235">
        <v>234</v>
      </c>
      <c r="B235" t="s">
        <v>258</v>
      </c>
      <c r="C235" t="s">
        <v>380</v>
      </c>
      <c r="D235">
        <v>37800</v>
      </c>
      <c r="E235" t="s">
        <v>8</v>
      </c>
      <c r="F235" t="s">
        <v>9</v>
      </c>
    </row>
    <row r="236" spans="1:6" x14ac:dyDescent="0.25">
      <c r="A236">
        <v>235</v>
      </c>
      <c r="B236" t="s">
        <v>183</v>
      </c>
      <c r="C236" t="s">
        <v>381</v>
      </c>
      <c r="D236">
        <v>19900</v>
      </c>
      <c r="E236" t="s">
        <v>38</v>
      </c>
      <c r="F236" t="s">
        <v>20</v>
      </c>
    </row>
    <row r="237" spans="1:6" x14ac:dyDescent="0.25">
      <c r="A237">
        <v>236</v>
      </c>
      <c r="B237" t="s">
        <v>400</v>
      </c>
      <c r="C237" t="s">
        <v>382</v>
      </c>
      <c r="D237">
        <v>271300</v>
      </c>
      <c r="E237" t="s">
        <v>8</v>
      </c>
      <c r="F237" t="s">
        <v>20</v>
      </c>
    </row>
    <row r="238" spans="1:6" x14ac:dyDescent="0.25">
      <c r="A238">
        <v>237</v>
      </c>
      <c r="B238" t="s">
        <v>201</v>
      </c>
      <c r="C238" t="s">
        <v>383</v>
      </c>
      <c r="D238">
        <v>36400</v>
      </c>
      <c r="E238" t="s">
        <v>23</v>
      </c>
      <c r="F238" t="s">
        <v>9</v>
      </c>
    </row>
    <row r="239" spans="1:6" x14ac:dyDescent="0.25">
      <c r="A239">
        <v>238</v>
      </c>
      <c r="B239" t="s">
        <v>37</v>
      </c>
      <c r="C239" t="s">
        <v>384</v>
      </c>
      <c r="D239">
        <v>9500</v>
      </c>
      <c r="E239" t="s">
        <v>8</v>
      </c>
      <c r="F239" t="s">
        <v>9</v>
      </c>
    </row>
    <row r="240" spans="1:6" x14ac:dyDescent="0.25">
      <c r="A240">
        <v>239</v>
      </c>
      <c r="B240" t="s">
        <v>102</v>
      </c>
      <c r="C240" t="s">
        <v>385</v>
      </c>
      <c r="D240">
        <v>63700</v>
      </c>
      <c r="E240" t="s">
        <v>23</v>
      </c>
      <c r="F240" t="s">
        <v>9</v>
      </c>
    </row>
    <row r="241" spans="1:6" x14ac:dyDescent="0.25">
      <c r="A241">
        <v>240</v>
      </c>
      <c r="B241" t="s">
        <v>400</v>
      </c>
      <c r="C241" t="s">
        <v>386</v>
      </c>
      <c r="D241">
        <v>6200</v>
      </c>
      <c r="E241" t="s">
        <v>23</v>
      </c>
      <c r="F241" t="s">
        <v>9</v>
      </c>
    </row>
    <row r="242" spans="1:6" x14ac:dyDescent="0.25">
      <c r="A242">
        <v>241</v>
      </c>
      <c r="B242" t="s">
        <v>82</v>
      </c>
      <c r="C242" t="s">
        <v>375</v>
      </c>
      <c r="D242">
        <v>14900</v>
      </c>
      <c r="E242" t="s">
        <v>38</v>
      </c>
      <c r="F242" t="s">
        <v>20</v>
      </c>
    </row>
    <row r="243" spans="1:6" x14ac:dyDescent="0.25">
      <c r="A243">
        <v>242</v>
      </c>
      <c r="B243" t="s">
        <v>114</v>
      </c>
      <c r="C243" t="s">
        <v>376</v>
      </c>
      <c r="D243">
        <v>89800</v>
      </c>
      <c r="E243" t="s">
        <v>8</v>
      </c>
      <c r="F243" t="s">
        <v>9</v>
      </c>
    </row>
    <row r="244" spans="1:6" x14ac:dyDescent="0.25">
      <c r="A244">
        <v>243</v>
      </c>
      <c r="B244" t="s">
        <v>34</v>
      </c>
      <c r="C244" t="s">
        <v>377</v>
      </c>
      <c r="D244">
        <v>173900</v>
      </c>
      <c r="E244" t="s">
        <v>8</v>
      </c>
      <c r="F244" t="s">
        <v>9</v>
      </c>
    </row>
    <row r="245" spans="1:6" x14ac:dyDescent="0.25">
      <c r="A245">
        <v>244</v>
      </c>
      <c r="B245" t="s">
        <v>269</v>
      </c>
      <c r="C245" t="s">
        <v>378</v>
      </c>
      <c r="D245">
        <v>10300</v>
      </c>
      <c r="E245" t="s">
        <v>38</v>
      </c>
      <c r="F245" t="s">
        <v>20</v>
      </c>
    </row>
    <row r="246" spans="1:6" x14ac:dyDescent="0.25">
      <c r="A246">
        <v>245</v>
      </c>
      <c r="B246" t="s">
        <v>214</v>
      </c>
      <c r="C246" t="s">
        <v>379</v>
      </c>
      <c r="D246">
        <v>51100</v>
      </c>
      <c r="E246" t="s">
        <v>8</v>
      </c>
      <c r="F246" t="s">
        <v>9</v>
      </c>
    </row>
    <row r="247" spans="1:6" x14ac:dyDescent="0.25">
      <c r="A247">
        <v>246</v>
      </c>
      <c r="B247" t="s">
        <v>214</v>
      </c>
      <c r="C247" t="s">
        <v>380</v>
      </c>
      <c r="D247">
        <v>24100</v>
      </c>
      <c r="E247" t="s">
        <v>38</v>
      </c>
      <c r="F247" t="s">
        <v>9</v>
      </c>
    </row>
    <row r="248" spans="1:6" x14ac:dyDescent="0.25">
      <c r="A248">
        <v>247</v>
      </c>
      <c r="B248" t="s">
        <v>233</v>
      </c>
      <c r="C248" t="s">
        <v>381</v>
      </c>
      <c r="D248">
        <v>26800</v>
      </c>
      <c r="E248" t="s">
        <v>38</v>
      </c>
      <c r="F248" t="s">
        <v>20</v>
      </c>
    </row>
    <row r="249" spans="1:6" x14ac:dyDescent="0.25">
      <c r="A249">
        <v>248</v>
      </c>
      <c r="B249" t="s">
        <v>271</v>
      </c>
      <c r="C249" t="s">
        <v>382</v>
      </c>
      <c r="D249">
        <v>74500</v>
      </c>
      <c r="E249" t="s">
        <v>8</v>
      </c>
      <c r="F249" t="s">
        <v>9</v>
      </c>
    </row>
    <row r="250" spans="1:6" x14ac:dyDescent="0.25">
      <c r="A250">
        <v>249</v>
      </c>
      <c r="B250" t="s">
        <v>387</v>
      </c>
      <c r="C250" t="s">
        <v>383</v>
      </c>
      <c r="D250">
        <v>140600</v>
      </c>
      <c r="E250" t="s">
        <v>23</v>
      </c>
      <c r="F250" t="s">
        <v>9</v>
      </c>
    </row>
    <row r="251" spans="1:6" x14ac:dyDescent="0.25">
      <c r="A251">
        <v>250</v>
      </c>
      <c r="B251" t="s">
        <v>101</v>
      </c>
      <c r="C251" t="s">
        <v>384</v>
      </c>
      <c r="D251">
        <v>49200</v>
      </c>
      <c r="E251" t="s">
        <v>8</v>
      </c>
      <c r="F251" t="s">
        <v>20</v>
      </c>
    </row>
    <row r="252" spans="1:6" x14ac:dyDescent="0.25">
      <c r="A252">
        <v>251</v>
      </c>
      <c r="B252" t="s">
        <v>194</v>
      </c>
      <c r="C252" t="s">
        <v>385</v>
      </c>
      <c r="D252">
        <v>31200</v>
      </c>
      <c r="E252" t="s">
        <v>8</v>
      </c>
      <c r="F252" t="s">
        <v>9</v>
      </c>
    </row>
    <row r="253" spans="1:6" x14ac:dyDescent="0.25">
      <c r="A253">
        <v>252</v>
      </c>
      <c r="B253" t="s">
        <v>262</v>
      </c>
      <c r="C253" t="s">
        <v>386</v>
      </c>
      <c r="D253">
        <v>21300</v>
      </c>
      <c r="E253" t="s">
        <v>8</v>
      </c>
      <c r="F253" t="s">
        <v>9</v>
      </c>
    </row>
    <row r="254" spans="1:6" x14ac:dyDescent="0.25">
      <c r="A254">
        <v>253</v>
      </c>
      <c r="B254" t="s">
        <v>6</v>
      </c>
      <c r="C254" t="s">
        <v>375</v>
      </c>
      <c r="D254">
        <v>18200</v>
      </c>
      <c r="E254" t="s">
        <v>8</v>
      </c>
      <c r="F254" t="s">
        <v>9</v>
      </c>
    </row>
    <row r="255" spans="1:6" x14ac:dyDescent="0.25">
      <c r="A255">
        <v>254</v>
      </c>
      <c r="B255" t="s">
        <v>126</v>
      </c>
      <c r="C255" t="s">
        <v>376</v>
      </c>
      <c r="D255">
        <v>120400</v>
      </c>
      <c r="E255" t="s">
        <v>8</v>
      </c>
      <c r="F255" t="s">
        <v>9</v>
      </c>
    </row>
    <row r="256" spans="1:6" x14ac:dyDescent="0.25">
      <c r="A256">
        <v>255</v>
      </c>
      <c r="B256" t="s">
        <v>189</v>
      </c>
      <c r="C256" t="s">
        <v>377</v>
      </c>
      <c r="D256">
        <v>189800</v>
      </c>
      <c r="E256" t="s">
        <v>8</v>
      </c>
      <c r="F256" t="s">
        <v>9</v>
      </c>
    </row>
    <row r="257" spans="1:6" x14ac:dyDescent="0.25">
      <c r="A257">
        <v>256</v>
      </c>
      <c r="B257" t="s">
        <v>100</v>
      </c>
      <c r="C257" t="s">
        <v>378</v>
      </c>
      <c r="D257">
        <v>36700</v>
      </c>
      <c r="E257" t="s">
        <v>8</v>
      </c>
      <c r="F257" t="s">
        <v>9</v>
      </c>
    </row>
    <row r="258" spans="1:6" x14ac:dyDescent="0.25">
      <c r="A258">
        <v>257</v>
      </c>
      <c r="B258" t="s">
        <v>234</v>
      </c>
      <c r="C258" t="s">
        <v>379</v>
      </c>
      <c r="D258">
        <v>62100</v>
      </c>
      <c r="E258" t="s">
        <v>23</v>
      </c>
      <c r="F258" t="s">
        <v>9</v>
      </c>
    </row>
    <row r="259" spans="1:6" x14ac:dyDescent="0.25">
      <c r="A259">
        <v>258</v>
      </c>
      <c r="B259" t="s">
        <v>390</v>
      </c>
      <c r="C259" t="s">
        <v>380</v>
      </c>
      <c r="D259">
        <v>315000</v>
      </c>
      <c r="E259" t="s">
        <v>38</v>
      </c>
      <c r="F259" t="s">
        <v>9</v>
      </c>
    </row>
    <row r="260" spans="1:6" x14ac:dyDescent="0.25">
      <c r="A260">
        <v>259</v>
      </c>
      <c r="B260" t="s">
        <v>219</v>
      </c>
      <c r="C260" t="s">
        <v>381</v>
      </c>
      <c r="D260">
        <v>10700</v>
      </c>
      <c r="E260" t="s">
        <v>23</v>
      </c>
      <c r="F260" t="s">
        <v>9</v>
      </c>
    </row>
    <row r="261" spans="1:6" x14ac:dyDescent="0.25">
      <c r="A261">
        <v>260</v>
      </c>
      <c r="B261" t="s">
        <v>333</v>
      </c>
      <c r="C261" t="s">
        <v>382</v>
      </c>
      <c r="D261">
        <v>5000</v>
      </c>
      <c r="E261" t="s">
        <v>23</v>
      </c>
      <c r="F261" t="s">
        <v>9</v>
      </c>
    </row>
    <row r="262" spans="1:6" x14ac:dyDescent="0.25">
      <c r="A262">
        <v>261</v>
      </c>
      <c r="B262" t="s">
        <v>249</v>
      </c>
      <c r="C262" t="s">
        <v>383</v>
      </c>
      <c r="D262">
        <v>19000</v>
      </c>
      <c r="E262" t="s">
        <v>8</v>
      </c>
      <c r="F262" t="s">
        <v>9</v>
      </c>
    </row>
    <row r="263" spans="1:6" x14ac:dyDescent="0.25">
      <c r="A263">
        <v>262</v>
      </c>
      <c r="B263" t="s">
        <v>227</v>
      </c>
      <c r="C263" t="s">
        <v>384</v>
      </c>
      <c r="D263">
        <v>166900</v>
      </c>
      <c r="E263" t="s">
        <v>38</v>
      </c>
      <c r="F263" t="s">
        <v>20</v>
      </c>
    </row>
    <row r="264" spans="1:6" x14ac:dyDescent="0.25">
      <c r="A264">
        <v>263</v>
      </c>
      <c r="B264" t="s">
        <v>345</v>
      </c>
      <c r="C264" t="s">
        <v>385</v>
      </c>
      <c r="D264">
        <v>12800</v>
      </c>
      <c r="E264" t="s">
        <v>38</v>
      </c>
      <c r="F264" t="s">
        <v>20</v>
      </c>
    </row>
    <row r="265" spans="1:6" x14ac:dyDescent="0.25">
      <c r="A265">
        <v>264</v>
      </c>
      <c r="B265" t="s">
        <v>179</v>
      </c>
      <c r="C265" t="s">
        <v>386</v>
      </c>
      <c r="D265">
        <v>9000</v>
      </c>
      <c r="E265" t="s">
        <v>8</v>
      </c>
      <c r="F265" t="s">
        <v>20</v>
      </c>
    </row>
    <row r="266" spans="1:6" x14ac:dyDescent="0.25">
      <c r="A266">
        <v>265</v>
      </c>
      <c r="B266" t="s">
        <v>337</v>
      </c>
      <c r="C266" t="s">
        <v>375</v>
      </c>
      <c r="D266">
        <v>31700</v>
      </c>
      <c r="E266" t="s">
        <v>38</v>
      </c>
      <c r="F266" t="s">
        <v>9</v>
      </c>
    </row>
    <row r="267" spans="1:6" x14ac:dyDescent="0.25">
      <c r="A267">
        <v>266</v>
      </c>
      <c r="B267" t="s">
        <v>10</v>
      </c>
      <c r="C267" t="s">
        <v>376</v>
      </c>
      <c r="D267">
        <v>67800</v>
      </c>
      <c r="E267" t="s">
        <v>8</v>
      </c>
      <c r="F267" t="s">
        <v>9</v>
      </c>
    </row>
    <row r="268" spans="1:6" x14ac:dyDescent="0.25">
      <c r="A268">
        <v>267</v>
      </c>
      <c r="B268" t="s">
        <v>237</v>
      </c>
      <c r="C268" t="s">
        <v>377</v>
      </c>
      <c r="D268">
        <v>7900</v>
      </c>
      <c r="E268" t="s">
        <v>23</v>
      </c>
      <c r="F268" t="s">
        <v>9</v>
      </c>
    </row>
    <row r="269" spans="1:6" x14ac:dyDescent="0.25">
      <c r="A269">
        <v>268</v>
      </c>
      <c r="B269" t="s">
        <v>130</v>
      </c>
      <c r="C269" t="s">
        <v>378</v>
      </c>
      <c r="D269">
        <v>54500</v>
      </c>
      <c r="E269" t="s">
        <v>8</v>
      </c>
      <c r="F269" t="s">
        <v>9</v>
      </c>
    </row>
    <row r="270" spans="1:6" x14ac:dyDescent="0.25">
      <c r="A270">
        <v>269</v>
      </c>
      <c r="B270" t="s">
        <v>401</v>
      </c>
      <c r="C270" t="s">
        <v>379</v>
      </c>
      <c r="D270">
        <v>58100</v>
      </c>
      <c r="E270" t="s">
        <v>8</v>
      </c>
      <c r="F270" t="s">
        <v>9</v>
      </c>
    </row>
    <row r="271" spans="1:6" x14ac:dyDescent="0.25">
      <c r="A271">
        <v>270</v>
      </c>
      <c r="B271" t="s">
        <v>66</v>
      </c>
      <c r="C271" t="s">
        <v>380</v>
      </c>
      <c r="D271">
        <v>77300</v>
      </c>
      <c r="E271" t="s">
        <v>8</v>
      </c>
      <c r="F271" t="s">
        <v>9</v>
      </c>
    </row>
    <row r="272" spans="1:6" x14ac:dyDescent="0.25">
      <c r="A272">
        <v>271</v>
      </c>
      <c r="B272" t="s">
        <v>340</v>
      </c>
      <c r="C272" t="s">
        <v>381</v>
      </c>
      <c r="D272">
        <v>48000</v>
      </c>
      <c r="E272" t="s">
        <v>38</v>
      </c>
      <c r="F272" t="s">
        <v>20</v>
      </c>
    </row>
    <row r="273" spans="1:6" x14ac:dyDescent="0.25">
      <c r="A273">
        <v>272</v>
      </c>
      <c r="B273" t="s">
        <v>282</v>
      </c>
      <c r="C273" t="s">
        <v>382</v>
      </c>
      <c r="D273">
        <v>57600</v>
      </c>
      <c r="E273" t="s">
        <v>38</v>
      </c>
      <c r="F273" t="s">
        <v>20</v>
      </c>
    </row>
    <row r="274" spans="1:6" x14ac:dyDescent="0.25">
      <c r="A274">
        <v>273</v>
      </c>
      <c r="B274" t="s">
        <v>181</v>
      </c>
      <c r="C274" t="s">
        <v>383</v>
      </c>
      <c r="D274">
        <v>12000</v>
      </c>
      <c r="E274" t="s">
        <v>23</v>
      </c>
      <c r="F274" t="s">
        <v>9</v>
      </c>
    </row>
    <row r="275" spans="1:6" x14ac:dyDescent="0.25">
      <c r="A275">
        <v>274</v>
      </c>
      <c r="B275" t="s">
        <v>193</v>
      </c>
      <c r="C275" t="s">
        <v>384</v>
      </c>
      <c r="D275">
        <v>126400</v>
      </c>
      <c r="E275" t="s">
        <v>8</v>
      </c>
      <c r="F275" t="s">
        <v>9</v>
      </c>
    </row>
    <row r="276" spans="1:6" x14ac:dyDescent="0.25">
      <c r="A276">
        <v>275</v>
      </c>
      <c r="B276" t="s">
        <v>280</v>
      </c>
      <c r="C276" t="s">
        <v>385</v>
      </c>
      <c r="D276">
        <v>77100</v>
      </c>
      <c r="E276" t="s">
        <v>8</v>
      </c>
      <c r="F276" t="s">
        <v>9</v>
      </c>
    </row>
    <row r="277" spans="1:6" x14ac:dyDescent="0.25">
      <c r="A277">
        <v>276</v>
      </c>
      <c r="B277" t="s">
        <v>398</v>
      </c>
      <c r="C277" t="s">
        <v>386</v>
      </c>
      <c r="D277">
        <v>48000</v>
      </c>
      <c r="E277" t="s">
        <v>38</v>
      </c>
      <c r="F277" t="s">
        <v>20</v>
      </c>
    </row>
    <row r="278" spans="1:6" x14ac:dyDescent="0.25">
      <c r="A278">
        <v>277</v>
      </c>
      <c r="B278" t="s">
        <v>396</v>
      </c>
      <c r="C278" t="s">
        <v>375</v>
      </c>
      <c r="D278">
        <v>5800</v>
      </c>
      <c r="E278" t="s">
        <v>23</v>
      </c>
      <c r="F278" t="s">
        <v>20</v>
      </c>
    </row>
    <row r="279" spans="1:6" x14ac:dyDescent="0.25">
      <c r="A279">
        <v>278</v>
      </c>
      <c r="B279" t="s">
        <v>36</v>
      </c>
      <c r="C279" t="s">
        <v>376</v>
      </c>
      <c r="D279">
        <v>15200</v>
      </c>
      <c r="E279" t="s">
        <v>38</v>
      </c>
      <c r="F279" t="s">
        <v>20</v>
      </c>
    </row>
    <row r="280" spans="1:6" x14ac:dyDescent="0.25">
      <c r="A280">
        <v>279</v>
      </c>
      <c r="B280" t="s">
        <v>402</v>
      </c>
      <c r="C280" t="s">
        <v>377</v>
      </c>
      <c r="D280">
        <v>5000</v>
      </c>
      <c r="E280" t="s">
        <v>38</v>
      </c>
      <c r="F280" t="s">
        <v>20</v>
      </c>
    </row>
    <row r="281" spans="1:6" x14ac:dyDescent="0.25">
      <c r="A281">
        <v>280</v>
      </c>
      <c r="B281" t="s">
        <v>46</v>
      </c>
      <c r="C281" t="s">
        <v>378</v>
      </c>
      <c r="D281">
        <v>49500</v>
      </c>
      <c r="E281" t="s">
        <v>38</v>
      </c>
      <c r="F281" t="s">
        <v>20</v>
      </c>
    </row>
    <row r="282" spans="1:6" x14ac:dyDescent="0.25">
      <c r="A282">
        <v>281</v>
      </c>
      <c r="B282" t="s">
        <v>289</v>
      </c>
      <c r="C282" t="s">
        <v>379</v>
      </c>
      <c r="D282">
        <v>53200</v>
      </c>
      <c r="E282" t="s">
        <v>23</v>
      </c>
      <c r="F282" t="s">
        <v>9</v>
      </c>
    </row>
    <row r="283" spans="1:6" x14ac:dyDescent="0.25">
      <c r="A283">
        <v>282</v>
      </c>
      <c r="B283" t="s">
        <v>91</v>
      </c>
      <c r="C283" t="s">
        <v>380</v>
      </c>
      <c r="D283">
        <v>9900</v>
      </c>
      <c r="E283" t="s">
        <v>23</v>
      </c>
      <c r="F283" t="s">
        <v>20</v>
      </c>
    </row>
    <row r="284" spans="1:6" x14ac:dyDescent="0.25">
      <c r="A284">
        <v>283</v>
      </c>
      <c r="B284" t="s">
        <v>248</v>
      </c>
      <c r="C284" t="s">
        <v>381</v>
      </c>
      <c r="D284">
        <v>152800</v>
      </c>
      <c r="E284" t="s">
        <v>38</v>
      </c>
      <c r="F284" t="s">
        <v>20</v>
      </c>
    </row>
    <row r="285" spans="1:6" x14ac:dyDescent="0.25">
      <c r="A285">
        <v>284</v>
      </c>
      <c r="B285" t="s">
        <v>150</v>
      </c>
      <c r="C285" t="s">
        <v>382</v>
      </c>
      <c r="D285">
        <v>220600</v>
      </c>
      <c r="E285" t="s">
        <v>38</v>
      </c>
      <c r="F285" t="s">
        <v>20</v>
      </c>
    </row>
    <row r="286" spans="1:6" x14ac:dyDescent="0.25">
      <c r="A286">
        <v>285</v>
      </c>
      <c r="B286" t="s">
        <v>223</v>
      </c>
      <c r="C286" t="s">
        <v>378</v>
      </c>
      <c r="D286">
        <v>420000</v>
      </c>
      <c r="E286" t="s">
        <v>38</v>
      </c>
      <c r="F286" t="s">
        <v>20</v>
      </c>
    </row>
    <row r="287" spans="1:6" x14ac:dyDescent="0.25">
      <c r="A287">
        <v>286</v>
      </c>
      <c r="B287" t="s">
        <v>107</v>
      </c>
      <c r="C287" t="s">
        <v>381</v>
      </c>
      <c r="D287">
        <v>0</v>
      </c>
      <c r="E287" t="s">
        <v>8</v>
      </c>
      <c r="F287" t="s">
        <v>9</v>
      </c>
    </row>
    <row r="288" spans="1:6" x14ac:dyDescent="0.25">
      <c r="A288">
        <v>287</v>
      </c>
      <c r="B288" t="s">
        <v>160</v>
      </c>
      <c r="C288" t="s">
        <v>385</v>
      </c>
      <c r="D288">
        <v>172200</v>
      </c>
      <c r="E288" t="s">
        <v>38</v>
      </c>
      <c r="F288" t="s">
        <v>9</v>
      </c>
    </row>
    <row r="289" spans="1:6" x14ac:dyDescent="0.25">
      <c r="A289">
        <v>288</v>
      </c>
      <c r="B289" t="s">
        <v>185</v>
      </c>
      <c r="C289" t="s">
        <v>386</v>
      </c>
      <c r="D289">
        <v>16700</v>
      </c>
      <c r="E289" t="s">
        <v>8</v>
      </c>
      <c r="F289" t="s">
        <v>9</v>
      </c>
    </row>
    <row r="290" spans="1:6" x14ac:dyDescent="0.25">
      <c r="A290">
        <v>289</v>
      </c>
      <c r="B290" t="s">
        <v>35</v>
      </c>
      <c r="C290" t="s">
        <v>375</v>
      </c>
      <c r="D290">
        <v>94600</v>
      </c>
      <c r="E290" t="s">
        <v>38</v>
      </c>
      <c r="F290" t="s">
        <v>20</v>
      </c>
    </row>
    <row r="291" spans="1:6" x14ac:dyDescent="0.25">
      <c r="A291">
        <v>290</v>
      </c>
      <c r="B291" t="s">
        <v>285</v>
      </c>
      <c r="C291" t="s">
        <v>376</v>
      </c>
      <c r="D291">
        <v>7600</v>
      </c>
      <c r="E291" t="s">
        <v>23</v>
      </c>
      <c r="F291" t="s">
        <v>9</v>
      </c>
    </row>
    <row r="292" spans="1:6" x14ac:dyDescent="0.25">
      <c r="A292">
        <v>291</v>
      </c>
      <c r="B292" t="s">
        <v>138</v>
      </c>
      <c r="C292" t="s">
        <v>377</v>
      </c>
      <c r="D292">
        <v>200300</v>
      </c>
      <c r="E292" t="s">
        <v>8</v>
      </c>
      <c r="F292" t="s">
        <v>9</v>
      </c>
    </row>
    <row r="293" spans="1:6" x14ac:dyDescent="0.25">
      <c r="A293">
        <v>292</v>
      </c>
      <c r="B293" t="s">
        <v>84</v>
      </c>
      <c r="C293" t="s">
        <v>378</v>
      </c>
      <c r="D293">
        <v>27900</v>
      </c>
      <c r="E293" t="s">
        <v>8</v>
      </c>
      <c r="F293" t="s">
        <v>9</v>
      </c>
    </row>
    <row r="294" spans="1:6" x14ac:dyDescent="0.25">
      <c r="A294">
        <v>293</v>
      </c>
      <c r="B294" t="s">
        <v>204</v>
      </c>
      <c r="C294" t="s">
        <v>379</v>
      </c>
      <c r="D294">
        <v>7100</v>
      </c>
      <c r="E294" t="s">
        <v>38</v>
      </c>
      <c r="F294" t="s">
        <v>20</v>
      </c>
    </row>
    <row r="295" spans="1:6" x14ac:dyDescent="0.25">
      <c r="A295">
        <v>294</v>
      </c>
      <c r="B295" t="s">
        <v>403</v>
      </c>
      <c r="C295" t="s">
        <v>380</v>
      </c>
      <c r="D295">
        <v>18400</v>
      </c>
      <c r="E295" t="s">
        <v>8</v>
      </c>
      <c r="F295" t="s">
        <v>9</v>
      </c>
    </row>
    <row r="296" spans="1:6" x14ac:dyDescent="0.25">
      <c r="A296">
        <v>295</v>
      </c>
      <c r="B296" t="s">
        <v>260</v>
      </c>
      <c r="C296" t="s">
        <v>381</v>
      </c>
      <c r="D296">
        <v>51800</v>
      </c>
      <c r="E296" t="s">
        <v>23</v>
      </c>
      <c r="F296" t="s">
        <v>9</v>
      </c>
    </row>
    <row r="297" spans="1:6" x14ac:dyDescent="0.25">
      <c r="A297">
        <v>296</v>
      </c>
      <c r="B297" t="s">
        <v>86</v>
      </c>
      <c r="C297" t="s">
        <v>382</v>
      </c>
      <c r="D297">
        <v>14200</v>
      </c>
      <c r="E297" t="s">
        <v>8</v>
      </c>
      <c r="F297" t="s">
        <v>9</v>
      </c>
    </row>
    <row r="298" spans="1:6" x14ac:dyDescent="0.25">
      <c r="A298">
        <v>297</v>
      </c>
      <c r="B298" t="s">
        <v>113</v>
      </c>
      <c r="C298" t="s">
        <v>383</v>
      </c>
      <c r="D298">
        <v>28400</v>
      </c>
      <c r="E298" t="s">
        <v>23</v>
      </c>
      <c r="F298" t="s">
        <v>9</v>
      </c>
    </row>
    <row r="299" spans="1:6" x14ac:dyDescent="0.25">
      <c r="A299">
        <v>298</v>
      </c>
      <c r="B299" t="s">
        <v>21</v>
      </c>
      <c r="C299" t="s">
        <v>384</v>
      </c>
      <c r="D299">
        <v>78600</v>
      </c>
      <c r="E299" t="s">
        <v>38</v>
      </c>
      <c r="F299" t="s">
        <v>20</v>
      </c>
    </row>
    <row r="300" spans="1:6" x14ac:dyDescent="0.25">
      <c r="A300">
        <v>299</v>
      </c>
      <c r="B300" t="s">
        <v>358</v>
      </c>
      <c r="C300" t="s">
        <v>385</v>
      </c>
      <c r="D300">
        <v>56100</v>
      </c>
      <c r="E300" t="s">
        <v>8</v>
      </c>
      <c r="F300" t="s">
        <v>9</v>
      </c>
    </row>
    <row r="301" spans="1:6" x14ac:dyDescent="0.25">
      <c r="A301">
        <v>300</v>
      </c>
      <c r="B301" t="s">
        <v>201</v>
      </c>
      <c r="C301" t="s">
        <v>386</v>
      </c>
      <c r="D301">
        <v>98200</v>
      </c>
      <c r="E301" t="s">
        <v>23</v>
      </c>
      <c r="F301" t="s">
        <v>9</v>
      </c>
    </row>
    <row r="302" spans="1:6" x14ac:dyDescent="0.25">
      <c r="A302">
        <v>301</v>
      </c>
      <c r="B302" t="s">
        <v>328</v>
      </c>
      <c r="C302" t="s">
        <v>375</v>
      </c>
      <c r="D302">
        <v>29000</v>
      </c>
      <c r="E302" t="s">
        <v>38</v>
      </c>
      <c r="F302" t="s">
        <v>20</v>
      </c>
    </row>
    <row r="303" spans="1:6" x14ac:dyDescent="0.25">
      <c r="A303">
        <v>302</v>
      </c>
      <c r="B303" t="s">
        <v>364</v>
      </c>
      <c r="C303" t="s">
        <v>376</v>
      </c>
      <c r="D303">
        <v>10800</v>
      </c>
      <c r="E303" t="s">
        <v>8</v>
      </c>
      <c r="F303" t="s">
        <v>9</v>
      </c>
    </row>
    <row r="304" spans="1:6" x14ac:dyDescent="0.25">
      <c r="A304">
        <v>303</v>
      </c>
      <c r="B304" t="s">
        <v>393</v>
      </c>
      <c r="C304" t="s">
        <v>377</v>
      </c>
      <c r="D304">
        <v>48500</v>
      </c>
      <c r="E304" t="s">
        <v>38</v>
      </c>
      <c r="F304" t="s">
        <v>20</v>
      </c>
    </row>
    <row r="305" spans="1:6" x14ac:dyDescent="0.25">
      <c r="A305">
        <v>304</v>
      </c>
      <c r="B305" t="s">
        <v>284</v>
      </c>
      <c r="C305" t="s">
        <v>378</v>
      </c>
      <c r="D305">
        <v>322900</v>
      </c>
      <c r="E305" t="s">
        <v>8</v>
      </c>
      <c r="F305" t="s">
        <v>9</v>
      </c>
    </row>
    <row r="306" spans="1:6" x14ac:dyDescent="0.25">
      <c r="A306">
        <v>305</v>
      </c>
      <c r="B306" t="s">
        <v>320</v>
      </c>
      <c r="C306" t="s">
        <v>379</v>
      </c>
      <c r="D306">
        <v>17400</v>
      </c>
      <c r="E306" t="s">
        <v>8</v>
      </c>
      <c r="F306" t="s">
        <v>9</v>
      </c>
    </row>
    <row r="307" spans="1:6" x14ac:dyDescent="0.25">
      <c r="A307">
        <v>306</v>
      </c>
      <c r="B307" t="s">
        <v>53</v>
      </c>
      <c r="C307" t="s">
        <v>380</v>
      </c>
      <c r="D307">
        <v>5000</v>
      </c>
      <c r="E307" t="s">
        <v>38</v>
      </c>
      <c r="F307" t="s">
        <v>9</v>
      </c>
    </row>
    <row r="308" spans="1:6" x14ac:dyDescent="0.25">
      <c r="A308">
        <v>307</v>
      </c>
      <c r="B308" t="s">
        <v>140</v>
      </c>
      <c r="C308" t="s">
        <v>381</v>
      </c>
      <c r="D308">
        <v>181300</v>
      </c>
      <c r="E308" t="s">
        <v>23</v>
      </c>
      <c r="F308" t="s">
        <v>9</v>
      </c>
    </row>
    <row r="309" spans="1:6" x14ac:dyDescent="0.25">
      <c r="A309">
        <v>308</v>
      </c>
      <c r="B309" t="s">
        <v>224</v>
      </c>
      <c r="C309" t="s">
        <v>382</v>
      </c>
      <c r="D309">
        <v>91500</v>
      </c>
      <c r="E309" t="s">
        <v>8</v>
      </c>
      <c r="F309" t="s">
        <v>9</v>
      </c>
    </row>
    <row r="310" spans="1:6" x14ac:dyDescent="0.25">
      <c r="A310">
        <v>309</v>
      </c>
      <c r="B310" t="s">
        <v>348</v>
      </c>
      <c r="C310" t="s">
        <v>383</v>
      </c>
      <c r="D310">
        <v>7900</v>
      </c>
      <c r="E310" t="s">
        <v>38</v>
      </c>
      <c r="F310" t="s">
        <v>20</v>
      </c>
    </row>
    <row r="311" spans="1:6" x14ac:dyDescent="0.25">
      <c r="A311">
        <v>310</v>
      </c>
      <c r="B311" t="s">
        <v>144</v>
      </c>
      <c r="C311" t="s">
        <v>384</v>
      </c>
      <c r="D311">
        <v>6900</v>
      </c>
      <c r="E311" t="s">
        <v>8</v>
      </c>
      <c r="F311" t="s">
        <v>9</v>
      </c>
    </row>
    <row r="312" spans="1:6" x14ac:dyDescent="0.25">
      <c r="A312">
        <v>311</v>
      </c>
      <c r="B312" t="s">
        <v>182</v>
      </c>
      <c r="C312" t="s">
        <v>385</v>
      </c>
      <c r="D312">
        <v>8400</v>
      </c>
      <c r="E312" t="s">
        <v>8</v>
      </c>
      <c r="F312" t="s">
        <v>9</v>
      </c>
    </row>
    <row r="313" spans="1:6" x14ac:dyDescent="0.25">
      <c r="A313">
        <v>312</v>
      </c>
      <c r="B313" t="s">
        <v>291</v>
      </c>
      <c r="C313" t="s">
        <v>386</v>
      </c>
      <c r="D313">
        <v>16600</v>
      </c>
      <c r="E313" t="s">
        <v>8</v>
      </c>
      <c r="F313" t="s">
        <v>9</v>
      </c>
    </row>
    <row r="314" spans="1:6" x14ac:dyDescent="0.25">
      <c r="A314">
        <v>313</v>
      </c>
      <c r="B314" t="s">
        <v>231</v>
      </c>
      <c r="C314" t="s">
        <v>375</v>
      </c>
      <c r="D314">
        <v>91900</v>
      </c>
      <c r="E314" t="s">
        <v>8</v>
      </c>
      <c r="F314" t="s">
        <v>9</v>
      </c>
    </row>
    <row r="315" spans="1:6" x14ac:dyDescent="0.25">
      <c r="A315">
        <v>314</v>
      </c>
      <c r="B315" t="s">
        <v>176</v>
      </c>
      <c r="C315" t="s">
        <v>376</v>
      </c>
      <c r="D315">
        <v>9700</v>
      </c>
      <c r="E315" t="s">
        <v>23</v>
      </c>
      <c r="F315" t="s">
        <v>20</v>
      </c>
    </row>
    <row r="316" spans="1:6" x14ac:dyDescent="0.25">
      <c r="A316">
        <v>315</v>
      </c>
      <c r="B316" t="s">
        <v>10</v>
      </c>
      <c r="C316" t="s">
        <v>377</v>
      </c>
      <c r="D316">
        <v>18300</v>
      </c>
      <c r="E316" t="s">
        <v>23</v>
      </c>
      <c r="F316" t="s">
        <v>9</v>
      </c>
    </row>
    <row r="317" spans="1:6" x14ac:dyDescent="0.25">
      <c r="A317">
        <v>316</v>
      </c>
      <c r="B317" t="s">
        <v>225</v>
      </c>
      <c r="C317" t="s">
        <v>378</v>
      </c>
      <c r="D317">
        <v>10700</v>
      </c>
      <c r="E317" t="s">
        <v>38</v>
      </c>
      <c r="F317" t="s">
        <v>20</v>
      </c>
    </row>
    <row r="318" spans="1:6" x14ac:dyDescent="0.25">
      <c r="A318">
        <v>317</v>
      </c>
      <c r="B318" t="s">
        <v>152</v>
      </c>
      <c r="C318" t="s">
        <v>379</v>
      </c>
      <c r="D318">
        <v>34900</v>
      </c>
      <c r="E318" t="s">
        <v>8</v>
      </c>
      <c r="F318" t="s">
        <v>9</v>
      </c>
    </row>
    <row r="319" spans="1:6" x14ac:dyDescent="0.25">
      <c r="A319">
        <v>318</v>
      </c>
      <c r="B319" t="s">
        <v>141</v>
      </c>
      <c r="C319" t="s">
        <v>380</v>
      </c>
      <c r="D319">
        <v>21200</v>
      </c>
      <c r="E319" t="s">
        <v>8</v>
      </c>
      <c r="F319" t="s">
        <v>9</v>
      </c>
    </row>
    <row r="320" spans="1:6" x14ac:dyDescent="0.25">
      <c r="A320">
        <v>319</v>
      </c>
      <c r="B320" t="s">
        <v>253</v>
      </c>
      <c r="C320" t="s">
        <v>381</v>
      </c>
      <c r="D320">
        <v>39000</v>
      </c>
      <c r="E320" t="s">
        <v>23</v>
      </c>
      <c r="F320" t="s">
        <v>9</v>
      </c>
    </row>
    <row r="321" spans="1:6" x14ac:dyDescent="0.25">
      <c r="A321">
        <v>320</v>
      </c>
      <c r="B321" t="s">
        <v>86</v>
      </c>
      <c r="C321" t="s">
        <v>382</v>
      </c>
      <c r="D321">
        <v>96900</v>
      </c>
      <c r="E321" t="s">
        <v>8</v>
      </c>
      <c r="F321" t="s">
        <v>9</v>
      </c>
    </row>
    <row r="322" spans="1:6" x14ac:dyDescent="0.25">
      <c r="A322">
        <v>321</v>
      </c>
      <c r="B322" t="s">
        <v>187</v>
      </c>
      <c r="C322" t="s">
        <v>383</v>
      </c>
      <c r="D322">
        <v>250500</v>
      </c>
      <c r="E322" t="s">
        <v>23</v>
      </c>
      <c r="F322" t="s">
        <v>9</v>
      </c>
    </row>
    <row r="323" spans="1:6" x14ac:dyDescent="0.25">
      <c r="A323">
        <v>322</v>
      </c>
      <c r="B323" t="s">
        <v>193</v>
      </c>
      <c r="C323" t="s">
        <v>384</v>
      </c>
      <c r="D323">
        <v>19000</v>
      </c>
      <c r="E323" t="s">
        <v>8</v>
      </c>
      <c r="F323" t="s">
        <v>9</v>
      </c>
    </row>
    <row r="324" spans="1:6" x14ac:dyDescent="0.25">
      <c r="A324">
        <v>323</v>
      </c>
      <c r="B324" t="s">
        <v>291</v>
      </c>
      <c r="C324" t="s">
        <v>385</v>
      </c>
      <c r="D324">
        <v>38500</v>
      </c>
      <c r="E324" t="s">
        <v>23</v>
      </c>
      <c r="F324" t="s">
        <v>9</v>
      </c>
    </row>
    <row r="325" spans="1:6" x14ac:dyDescent="0.25">
      <c r="A325">
        <v>324</v>
      </c>
      <c r="B325" t="s">
        <v>351</v>
      </c>
      <c r="C325" t="s">
        <v>386</v>
      </c>
      <c r="D325">
        <v>5100</v>
      </c>
      <c r="E325" t="s">
        <v>8</v>
      </c>
      <c r="F325" t="s">
        <v>9</v>
      </c>
    </row>
    <row r="326" spans="1:6" x14ac:dyDescent="0.25">
      <c r="A326">
        <v>325</v>
      </c>
      <c r="B326" t="s">
        <v>234</v>
      </c>
      <c r="C326" t="s">
        <v>375</v>
      </c>
      <c r="D326">
        <v>303800</v>
      </c>
      <c r="E326" t="s">
        <v>8</v>
      </c>
      <c r="F326" t="s">
        <v>20</v>
      </c>
    </row>
    <row r="327" spans="1:6" x14ac:dyDescent="0.25">
      <c r="A327">
        <v>326</v>
      </c>
      <c r="B327" t="s">
        <v>44</v>
      </c>
      <c r="C327" t="s">
        <v>376</v>
      </c>
      <c r="D327">
        <v>21000</v>
      </c>
      <c r="E327" t="s">
        <v>8</v>
      </c>
      <c r="F327" t="s">
        <v>9</v>
      </c>
    </row>
    <row r="328" spans="1:6" x14ac:dyDescent="0.25">
      <c r="A328">
        <v>327</v>
      </c>
      <c r="B328" t="s">
        <v>165</v>
      </c>
      <c r="C328" t="s">
        <v>377</v>
      </c>
      <c r="D328">
        <v>19700</v>
      </c>
      <c r="E328" t="s">
        <v>38</v>
      </c>
      <c r="F328" t="s">
        <v>20</v>
      </c>
    </row>
    <row r="329" spans="1:6" x14ac:dyDescent="0.25">
      <c r="A329">
        <v>328</v>
      </c>
      <c r="B329" t="s">
        <v>247</v>
      </c>
      <c r="C329" t="s">
        <v>378</v>
      </c>
      <c r="D329">
        <v>17500</v>
      </c>
      <c r="E329" t="s">
        <v>8</v>
      </c>
      <c r="F329" t="s">
        <v>9</v>
      </c>
    </row>
    <row r="330" spans="1:6" x14ac:dyDescent="0.25">
      <c r="A330">
        <v>329</v>
      </c>
      <c r="B330" t="s">
        <v>337</v>
      </c>
      <c r="C330" t="s">
        <v>379</v>
      </c>
      <c r="D330">
        <v>27900</v>
      </c>
      <c r="E330" t="s">
        <v>23</v>
      </c>
      <c r="F330" t="s">
        <v>9</v>
      </c>
    </row>
    <row r="331" spans="1:6" x14ac:dyDescent="0.25">
      <c r="A331">
        <v>330</v>
      </c>
      <c r="B331" t="s">
        <v>69</v>
      </c>
      <c r="C331" t="s">
        <v>380</v>
      </c>
      <c r="D331">
        <v>64600</v>
      </c>
      <c r="E331" t="s">
        <v>8</v>
      </c>
      <c r="F331" t="s">
        <v>9</v>
      </c>
    </row>
    <row r="332" spans="1:6" x14ac:dyDescent="0.25">
      <c r="A332">
        <v>331</v>
      </c>
      <c r="B332" t="s">
        <v>360</v>
      </c>
      <c r="C332" t="s">
        <v>381</v>
      </c>
      <c r="D332">
        <v>16600</v>
      </c>
      <c r="E332" t="s">
        <v>38</v>
      </c>
      <c r="F332" t="s">
        <v>9</v>
      </c>
    </row>
    <row r="333" spans="1:6" x14ac:dyDescent="0.25">
      <c r="A333">
        <v>332</v>
      </c>
      <c r="B333" t="s">
        <v>183</v>
      </c>
      <c r="C333" t="s">
        <v>382</v>
      </c>
      <c r="D333">
        <v>26300</v>
      </c>
      <c r="E333" t="s">
        <v>38</v>
      </c>
      <c r="F333" t="s">
        <v>20</v>
      </c>
    </row>
    <row r="334" spans="1:6" x14ac:dyDescent="0.25">
      <c r="A334">
        <v>333</v>
      </c>
      <c r="B334" t="s">
        <v>397</v>
      </c>
      <c r="C334" t="s">
        <v>383</v>
      </c>
      <c r="D334">
        <v>23000</v>
      </c>
      <c r="E334" t="s">
        <v>8</v>
      </c>
      <c r="F334" t="s">
        <v>9</v>
      </c>
    </row>
    <row r="335" spans="1:6" x14ac:dyDescent="0.25">
      <c r="A335">
        <v>334</v>
      </c>
      <c r="B335" t="s">
        <v>389</v>
      </c>
      <c r="C335" t="s">
        <v>384</v>
      </c>
      <c r="D335">
        <v>6000</v>
      </c>
      <c r="E335" t="s">
        <v>38</v>
      </c>
      <c r="F335" t="s">
        <v>20</v>
      </c>
    </row>
    <row r="336" spans="1:6" x14ac:dyDescent="0.25">
      <c r="A336">
        <v>335</v>
      </c>
      <c r="B336" t="s">
        <v>391</v>
      </c>
      <c r="C336" t="s">
        <v>385</v>
      </c>
      <c r="D336">
        <v>9600</v>
      </c>
      <c r="E336" t="s">
        <v>23</v>
      </c>
      <c r="F336" t="s">
        <v>9</v>
      </c>
    </row>
    <row r="337" spans="1:6" x14ac:dyDescent="0.25">
      <c r="A337">
        <v>336</v>
      </c>
      <c r="B337" t="s">
        <v>36</v>
      </c>
      <c r="C337" t="s">
        <v>386</v>
      </c>
      <c r="D337">
        <v>24200</v>
      </c>
      <c r="E337" t="s">
        <v>23</v>
      </c>
      <c r="F337" t="s">
        <v>9</v>
      </c>
    </row>
    <row r="338" spans="1:6" x14ac:dyDescent="0.25">
      <c r="A338">
        <v>337</v>
      </c>
      <c r="B338" t="s">
        <v>175</v>
      </c>
      <c r="C338" t="s">
        <v>375</v>
      </c>
      <c r="D338">
        <v>141700</v>
      </c>
      <c r="E338" t="s">
        <v>38</v>
      </c>
      <c r="F338" t="s">
        <v>9</v>
      </c>
    </row>
    <row r="339" spans="1:6" x14ac:dyDescent="0.25">
      <c r="A339">
        <v>338</v>
      </c>
      <c r="B339" t="s">
        <v>186</v>
      </c>
      <c r="C339" t="s">
        <v>376</v>
      </c>
      <c r="D339">
        <v>39300</v>
      </c>
      <c r="E339" t="s">
        <v>8</v>
      </c>
      <c r="F339" t="s">
        <v>9</v>
      </c>
    </row>
    <row r="340" spans="1:6" x14ac:dyDescent="0.25">
      <c r="A340">
        <v>339</v>
      </c>
      <c r="B340" t="s">
        <v>328</v>
      </c>
      <c r="C340" t="s">
        <v>377</v>
      </c>
      <c r="D340">
        <v>59600</v>
      </c>
      <c r="E340" t="s">
        <v>8</v>
      </c>
      <c r="F340" t="s">
        <v>9</v>
      </c>
    </row>
    <row r="341" spans="1:6" x14ac:dyDescent="0.25">
      <c r="A341">
        <v>340</v>
      </c>
      <c r="B341" t="s">
        <v>121</v>
      </c>
      <c r="C341" t="s">
        <v>378</v>
      </c>
      <c r="D341">
        <v>26200</v>
      </c>
      <c r="E341" t="s">
        <v>8</v>
      </c>
      <c r="F341" t="s">
        <v>9</v>
      </c>
    </row>
    <row r="342" spans="1:6" x14ac:dyDescent="0.25">
      <c r="A342">
        <v>341</v>
      </c>
      <c r="B342" t="s">
        <v>355</v>
      </c>
      <c r="C342" t="s">
        <v>379</v>
      </c>
      <c r="D342">
        <v>33600</v>
      </c>
      <c r="E342" t="s">
        <v>8</v>
      </c>
      <c r="F342" t="s">
        <v>9</v>
      </c>
    </row>
    <row r="343" spans="1:6" x14ac:dyDescent="0.25">
      <c r="A343">
        <v>342</v>
      </c>
      <c r="B343" t="s">
        <v>68</v>
      </c>
      <c r="C343" t="s">
        <v>380</v>
      </c>
      <c r="D343">
        <v>21000</v>
      </c>
      <c r="E343" t="s">
        <v>8</v>
      </c>
      <c r="F343" t="s">
        <v>20</v>
      </c>
    </row>
    <row r="344" spans="1:6" x14ac:dyDescent="0.25">
      <c r="A344">
        <v>343</v>
      </c>
      <c r="B344" t="s">
        <v>125</v>
      </c>
      <c r="C344" t="s">
        <v>381</v>
      </c>
      <c r="D344">
        <v>32200</v>
      </c>
      <c r="E344" t="s">
        <v>8</v>
      </c>
      <c r="F344" t="s">
        <v>9</v>
      </c>
    </row>
    <row r="345" spans="1:6" x14ac:dyDescent="0.25">
      <c r="A345">
        <v>344</v>
      </c>
      <c r="B345" t="s">
        <v>32</v>
      </c>
      <c r="C345" t="s">
        <v>382</v>
      </c>
      <c r="D345">
        <v>77700</v>
      </c>
      <c r="E345" t="s">
        <v>8</v>
      </c>
      <c r="F345" t="s">
        <v>20</v>
      </c>
    </row>
    <row r="346" spans="1:6" x14ac:dyDescent="0.25">
      <c r="A346">
        <v>345</v>
      </c>
      <c r="B346" t="s">
        <v>349</v>
      </c>
      <c r="C346" t="s">
        <v>383</v>
      </c>
      <c r="D346">
        <v>36400</v>
      </c>
      <c r="E346" t="s">
        <v>8</v>
      </c>
      <c r="F346" t="s">
        <v>9</v>
      </c>
    </row>
    <row r="347" spans="1:6" x14ac:dyDescent="0.25">
      <c r="A347">
        <v>346</v>
      </c>
      <c r="B347" t="s">
        <v>210</v>
      </c>
      <c r="C347" t="s">
        <v>384</v>
      </c>
      <c r="D347">
        <v>72600</v>
      </c>
      <c r="E347" t="s">
        <v>8</v>
      </c>
      <c r="F347" t="s">
        <v>9</v>
      </c>
    </row>
    <row r="348" spans="1:6" x14ac:dyDescent="0.25">
      <c r="A348">
        <v>347</v>
      </c>
      <c r="B348" t="s">
        <v>266</v>
      </c>
      <c r="C348" t="s">
        <v>385</v>
      </c>
      <c r="D348">
        <v>48500</v>
      </c>
      <c r="E348" t="s">
        <v>8</v>
      </c>
      <c r="F348" t="s">
        <v>9</v>
      </c>
    </row>
    <row r="349" spans="1:6" x14ac:dyDescent="0.25">
      <c r="A349">
        <v>348</v>
      </c>
      <c r="B349" t="s">
        <v>290</v>
      </c>
      <c r="C349" t="s">
        <v>386</v>
      </c>
      <c r="D349">
        <v>15400</v>
      </c>
      <c r="E349" t="s">
        <v>8</v>
      </c>
      <c r="F349" t="s">
        <v>9</v>
      </c>
    </row>
    <row r="350" spans="1:6" x14ac:dyDescent="0.25">
      <c r="A350">
        <v>349</v>
      </c>
      <c r="B350" t="s">
        <v>130</v>
      </c>
      <c r="C350" t="s">
        <v>375</v>
      </c>
      <c r="D350">
        <v>7200</v>
      </c>
      <c r="E350" t="s">
        <v>23</v>
      </c>
      <c r="F350" t="s">
        <v>9</v>
      </c>
    </row>
    <row r="351" spans="1:6" x14ac:dyDescent="0.25">
      <c r="A351">
        <v>350</v>
      </c>
      <c r="B351" t="s">
        <v>111</v>
      </c>
      <c r="C351" t="s">
        <v>376</v>
      </c>
      <c r="D351">
        <v>17200</v>
      </c>
      <c r="E351" t="s">
        <v>8</v>
      </c>
      <c r="F351" t="s">
        <v>9</v>
      </c>
    </row>
    <row r="352" spans="1:6" x14ac:dyDescent="0.25">
      <c r="A352">
        <v>351</v>
      </c>
      <c r="B352" t="s">
        <v>217</v>
      </c>
      <c r="C352" t="s">
        <v>377</v>
      </c>
      <c r="D352">
        <v>20400</v>
      </c>
      <c r="E352" t="s">
        <v>8</v>
      </c>
      <c r="F352" t="s">
        <v>9</v>
      </c>
    </row>
    <row r="353" spans="1:6" x14ac:dyDescent="0.25">
      <c r="A353">
        <v>352</v>
      </c>
      <c r="B353" t="s">
        <v>177</v>
      </c>
      <c r="C353" t="s">
        <v>378</v>
      </c>
      <c r="D353">
        <v>31900</v>
      </c>
      <c r="E353" t="s">
        <v>38</v>
      </c>
      <c r="F353" t="s">
        <v>20</v>
      </c>
    </row>
    <row r="354" spans="1:6" x14ac:dyDescent="0.25">
      <c r="A354">
        <v>353</v>
      </c>
      <c r="B354" t="s">
        <v>314</v>
      </c>
      <c r="C354" t="s">
        <v>379</v>
      </c>
      <c r="D354">
        <v>30600</v>
      </c>
      <c r="E354" t="s">
        <v>23</v>
      </c>
      <c r="F354" t="s">
        <v>9</v>
      </c>
    </row>
    <row r="355" spans="1:6" x14ac:dyDescent="0.25">
      <c r="A355">
        <v>354</v>
      </c>
      <c r="B355" t="s">
        <v>192</v>
      </c>
      <c r="C355" t="s">
        <v>380</v>
      </c>
      <c r="D355">
        <v>8100</v>
      </c>
      <c r="E355" t="s">
        <v>8</v>
      </c>
      <c r="F355" t="s">
        <v>9</v>
      </c>
    </row>
    <row r="356" spans="1:6" x14ac:dyDescent="0.25">
      <c r="A356">
        <v>355</v>
      </c>
      <c r="B356" t="s">
        <v>143</v>
      </c>
      <c r="C356" t="s">
        <v>381</v>
      </c>
      <c r="D356">
        <v>5000</v>
      </c>
      <c r="E356" t="s">
        <v>38</v>
      </c>
      <c r="F356" t="s">
        <v>9</v>
      </c>
    </row>
    <row r="357" spans="1:6" x14ac:dyDescent="0.25">
      <c r="A357">
        <v>356</v>
      </c>
      <c r="B357" t="s">
        <v>262</v>
      </c>
      <c r="C357" t="s">
        <v>382</v>
      </c>
      <c r="D357">
        <v>49800</v>
      </c>
      <c r="E357" t="s">
        <v>23</v>
      </c>
      <c r="F357" t="s">
        <v>9</v>
      </c>
    </row>
    <row r="358" spans="1:6" x14ac:dyDescent="0.25">
      <c r="A358">
        <v>357</v>
      </c>
      <c r="B358" t="s">
        <v>332</v>
      </c>
      <c r="C358" t="s">
        <v>383</v>
      </c>
      <c r="D358">
        <v>89700</v>
      </c>
      <c r="E358" t="s">
        <v>8</v>
      </c>
      <c r="F358" t="s">
        <v>9</v>
      </c>
    </row>
    <row r="359" spans="1:6" x14ac:dyDescent="0.25">
      <c r="A359">
        <v>358</v>
      </c>
      <c r="B359" t="s">
        <v>161</v>
      </c>
      <c r="C359" t="s">
        <v>384</v>
      </c>
      <c r="D359">
        <v>85700</v>
      </c>
      <c r="E359" t="s">
        <v>23</v>
      </c>
      <c r="F359" t="s">
        <v>20</v>
      </c>
    </row>
    <row r="360" spans="1:6" x14ac:dyDescent="0.25">
      <c r="A360">
        <v>359</v>
      </c>
      <c r="B360" t="s">
        <v>390</v>
      </c>
      <c r="C360" t="s">
        <v>385</v>
      </c>
      <c r="D360">
        <v>92500</v>
      </c>
      <c r="E360" t="s">
        <v>8</v>
      </c>
      <c r="F360" t="s">
        <v>9</v>
      </c>
    </row>
    <row r="361" spans="1:6" x14ac:dyDescent="0.25">
      <c r="A361">
        <v>360</v>
      </c>
      <c r="B361" t="s">
        <v>350</v>
      </c>
      <c r="C361" t="s">
        <v>386</v>
      </c>
      <c r="D361">
        <v>11500</v>
      </c>
      <c r="E361" t="s">
        <v>23</v>
      </c>
      <c r="F361" t="s">
        <v>9</v>
      </c>
    </row>
    <row r="362" spans="1:6" x14ac:dyDescent="0.25">
      <c r="A362">
        <v>361</v>
      </c>
      <c r="B362" t="s">
        <v>250</v>
      </c>
      <c r="C362" t="s">
        <v>375</v>
      </c>
      <c r="D362">
        <v>13200</v>
      </c>
      <c r="E362" t="s">
        <v>38</v>
      </c>
      <c r="F362" t="s">
        <v>9</v>
      </c>
    </row>
    <row r="363" spans="1:6" x14ac:dyDescent="0.25">
      <c r="A363">
        <v>362</v>
      </c>
      <c r="B363" t="s">
        <v>161</v>
      </c>
      <c r="C363" t="s">
        <v>376</v>
      </c>
      <c r="D363">
        <v>11700</v>
      </c>
      <c r="E363" t="s">
        <v>8</v>
      </c>
      <c r="F363" t="s">
        <v>9</v>
      </c>
    </row>
    <row r="364" spans="1:6" x14ac:dyDescent="0.25">
      <c r="A364">
        <v>363</v>
      </c>
      <c r="B364" t="s">
        <v>141</v>
      </c>
      <c r="C364" t="s">
        <v>377</v>
      </c>
      <c r="D364">
        <v>25700</v>
      </c>
      <c r="E364" t="s">
        <v>23</v>
      </c>
      <c r="F364" t="s">
        <v>9</v>
      </c>
    </row>
    <row r="365" spans="1:6" x14ac:dyDescent="0.25">
      <c r="A365">
        <v>364</v>
      </c>
      <c r="B365" t="s">
        <v>268</v>
      </c>
      <c r="C365" t="s">
        <v>378</v>
      </c>
      <c r="D365">
        <v>118000</v>
      </c>
      <c r="E365" t="s">
        <v>38</v>
      </c>
      <c r="F365" t="s">
        <v>9</v>
      </c>
    </row>
    <row r="366" spans="1:6" x14ac:dyDescent="0.25">
      <c r="A366">
        <v>365</v>
      </c>
      <c r="B366" t="s">
        <v>251</v>
      </c>
      <c r="C366" t="s">
        <v>379</v>
      </c>
      <c r="D366">
        <v>81500</v>
      </c>
      <c r="E366" t="s">
        <v>38</v>
      </c>
      <c r="F366" t="s">
        <v>20</v>
      </c>
    </row>
    <row r="367" spans="1:6" x14ac:dyDescent="0.25">
      <c r="A367">
        <v>366</v>
      </c>
      <c r="B367" t="s">
        <v>122</v>
      </c>
      <c r="C367" t="s">
        <v>380</v>
      </c>
      <c r="D367">
        <v>5000</v>
      </c>
      <c r="E367" t="s">
        <v>23</v>
      </c>
      <c r="F367" t="s">
        <v>9</v>
      </c>
    </row>
    <row r="368" spans="1:6" x14ac:dyDescent="0.25">
      <c r="A368">
        <v>367</v>
      </c>
      <c r="B368" t="s">
        <v>100</v>
      </c>
      <c r="C368" t="s">
        <v>381</v>
      </c>
      <c r="D368">
        <v>54100</v>
      </c>
      <c r="E368" t="s">
        <v>8</v>
      </c>
      <c r="F368" t="s">
        <v>9</v>
      </c>
    </row>
    <row r="369" spans="1:6" x14ac:dyDescent="0.25">
      <c r="A369">
        <v>368</v>
      </c>
      <c r="B369" t="s">
        <v>254</v>
      </c>
      <c r="C369" t="s">
        <v>382</v>
      </c>
      <c r="D369">
        <v>5000</v>
      </c>
      <c r="E369" t="s">
        <v>8</v>
      </c>
      <c r="F369" t="s">
        <v>9</v>
      </c>
    </row>
    <row r="370" spans="1:6" x14ac:dyDescent="0.25">
      <c r="A370">
        <v>369</v>
      </c>
      <c r="B370" t="s">
        <v>290</v>
      </c>
      <c r="C370" t="s">
        <v>383</v>
      </c>
      <c r="D370">
        <v>86400</v>
      </c>
      <c r="E370" t="s">
        <v>8</v>
      </c>
      <c r="F370" t="s">
        <v>9</v>
      </c>
    </row>
    <row r="371" spans="1:6" x14ac:dyDescent="0.25">
      <c r="A371">
        <v>370</v>
      </c>
      <c r="B371" t="s">
        <v>183</v>
      </c>
      <c r="C371" t="s">
        <v>384</v>
      </c>
      <c r="D371">
        <v>53100</v>
      </c>
      <c r="E371" t="s">
        <v>38</v>
      </c>
      <c r="F371" t="s">
        <v>20</v>
      </c>
    </row>
    <row r="372" spans="1:6" x14ac:dyDescent="0.25">
      <c r="A372">
        <v>371</v>
      </c>
      <c r="B372" t="s">
        <v>119</v>
      </c>
      <c r="C372" t="s">
        <v>385</v>
      </c>
      <c r="D372">
        <v>95000</v>
      </c>
      <c r="E372" t="s">
        <v>8</v>
      </c>
      <c r="F372" t="s">
        <v>9</v>
      </c>
    </row>
    <row r="373" spans="1:6" x14ac:dyDescent="0.25">
      <c r="A373">
        <v>372</v>
      </c>
      <c r="B373" t="s">
        <v>216</v>
      </c>
      <c r="C373" t="s">
        <v>386</v>
      </c>
      <c r="D373">
        <v>500000</v>
      </c>
      <c r="E373" t="s">
        <v>8</v>
      </c>
      <c r="F373" t="s">
        <v>9</v>
      </c>
    </row>
    <row r="374" spans="1:6" x14ac:dyDescent="0.25">
      <c r="A374">
        <v>373</v>
      </c>
      <c r="B374" t="s">
        <v>16</v>
      </c>
      <c r="C374" t="s">
        <v>375</v>
      </c>
      <c r="D374">
        <v>7900</v>
      </c>
      <c r="E374" t="s">
        <v>38</v>
      </c>
      <c r="F374" t="s">
        <v>20</v>
      </c>
    </row>
    <row r="375" spans="1:6" x14ac:dyDescent="0.25">
      <c r="A375">
        <v>374</v>
      </c>
      <c r="B375" t="s">
        <v>290</v>
      </c>
      <c r="C375" t="s">
        <v>376</v>
      </c>
      <c r="D375">
        <v>12700</v>
      </c>
      <c r="E375" t="s">
        <v>38</v>
      </c>
      <c r="F375" t="s">
        <v>9</v>
      </c>
    </row>
    <row r="376" spans="1:6" x14ac:dyDescent="0.25">
      <c r="A376">
        <v>375</v>
      </c>
      <c r="B376" t="s">
        <v>43</v>
      </c>
      <c r="C376" t="s">
        <v>377</v>
      </c>
      <c r="D376">
        <v>37700</v>
      </c>
      <c r="E376" t="s">
        <v>23</v>
      </c>
      <c r="F376" t="s">
        <v>9</v>
      </c>
    </row>
    <row r="377" spans="1:6" x14ac:dyDescent="0.25">
      <c r="A377">
        <v>376</v>
      </c>
      <c r="B377" t="s">
        <v>118</v>
      </c>
      <c r="C377" t="s">
        <v>378</v>
      </c>
      <c r="D377">
        <v>109600</v>
      </c>
      <c r="E377" t="s">
        <v>8</v>
      </c>
      <c r="F377" t="s">
        <v>9</v>
      </c>
    </row>
    <row r="378" spans="1:6" x14ac:dyDescent="0.25">
      <c r="A378">
        <v>377</v>
      </c>
      <c r="B378" t="s">
        <v>290</v>
      </c>
      <c r="C378" t="s">
        <v>379</v>
      </c>
      <c r="D378">
        <v>26900</v>
      </c>
      <c r="E378" t="s">
        <v>38</v>
      </c>
      <c r="F378" t="s">
        <v>9</v>
      </c>
    </row>
    <row r="379" spans="1:6" x14ac:dyDescent="0.25">
      <c r="A379">
        <v>378</v>
      </c>
      <c r="B379" t="s">
        <v>53</v>
      </c>
      <c r="C379" t="s">
        <v>380</v>
      </c>
      <c r="D379">
        <v>16100</v>
      </c>
      <c r="E379" t="s">
        <v>23</v>
      </c>
      <c r="F379" t="s">
        <v>9</v>
      </c>
    </row>
    <row r="380" spans="1:6" x14ac:dyDescent="0.25">
      <c r="A380">
        <v>379</v>
      </c>
      <c r="B380" t="s">
        <v>74</v>
      </c>
      <c r="C380" t="s">
        <v>381</v>
      </c>
      <c r="D380">
        <v>43300</v>
      </c>
      <c r="E380" t="s">
        <v>23</v>
      </c>
      <c r="F380" t="s">
        <v>9</v>
      </c>
    </row>
    <row r="381" spans="1:6" x14ac:dyDescent="0.25">
      <c r="A381">
        <v>380</v>
      </c>
      <c r="B381" t="s">
        <v>112</v>
      </c>
      <c r="C381" t="s">
        <v>382</v>
      </c>
      <c r="D381">
        <v>18500</v>
      </c>
      <c r="E381" t="s">
        <v>23</v>
      </c>
      <c r="F381" t="s">
        <v>9</v>
      </c>
    </row>
    <row r="382" spans="1:6" x14ac:dyDescent="0.25">
      <c r="A382">
        <v>381</v>
      </c>
      <c r="B382" t="s">
        <v>6</v>
      </c>
      <c r="C382" t="s">
        <v>383</v>
      </c>
      <c r="D382">
        <v>25300</v>
      </c>
      <c r="E382" t="s">
        <v>23</v>
      </c>
      <c r="F382" t="s">
        <v>9</v>
      </c>
    </row>
    <row r="383" spans="1:6" x14ac:dyDescent="0.25">
      <c r="A383">
        <v>382</v>
      </c>
      <c r="B383" t="s">
        <v>346</v>
      </c>
      <c r="C383" t="s">
        <v>384</v>
      </c>
      <c r="D383">
        <v>7100</v>
      </c>
      <c r="E383" t="s">
        <v>8</v>
      </c>
      <c r="F383" t="s">
        <v>20</v>
      </c>
    </row>
    <row r="384" spans="1:6" x14ac:dyDescent="0.25">
      <c r="A384">
        <v>383</v>
      </c>
      <c r="B384" t="s">
        <v>118</v>
      </c>
      <c r="C384" t="s">
        <v>385</v>
      </c>
      <c r="D384">
        <v>54500</v>
      </c>
      <c r="E384" t="s">
        <v>38</v>
      </c>
      <c r="F384" t="s">
        <v>20</v>
      </c>
    </row>
    <row r="385" spans="1:6" x14ac:dyDescent="0.25">
      <c r="A385">
        <v>384</v>
      </c>
      <c r="B385" t="s">
        <v>125</v>
      </c>
      <c r="C385" t="s">
        <v>386</v>
      </c>
      <c r="D385">
        <v>5000</v>
      </c>
      <c r="E385" t="s">
        <v>38</v>
      </c>
      <c r="F385" t="s">
        <v>9</v>
      </c>
    </row>
    <row r="386" spans="1:6" x14ac:dyDescent="0.25">
      <c r="A386">
        <v>385</v>
      </c>
      <c r="B386" t="s">
        <v>83</v>
      </c>
      <c r="C386" t="s">
        <v>375</v>
      </c>
      <c r="D386">
        <v>247600</v>
      </c>
      <c r="E386" t="s">
        <v>38</v>
      </c>
      <c r="F386" t="s">
        <v>9</v>
      </c>
    </row>
    <row r="387" spans="1:6" x14ac:dyDescent="0.25">
      <c r="A387">
        <v>386</v>
      </c>
      <c r="B387" t="s">
        <v>28</v>
      </c>
      <c r="C387" t="s">
        <v>376</v>
      </c>
      <c r="D387">
        <v>82200</v>
      </c>
      <c r="E387" t="s">
        <v>23</v>
      </c>
      <c r="F387" t="s">
        <v>9</v>
      </c>
    </row>
    <row r="388" spans="1:6" x14ac:dyDescent="0.25">
      <c r="A388">
        <v>387</v>
      </c>
      <c r="B388" t="s">
        <v>155</v>
      </c>
      <c r="C388" t="s">
        <v>377</v>
      </c>
      <c r="D388">
        <v>13100</v>
      </c>
      <c r="E388" t="s">
        <v>8</v>
      </c>
      <c r="F388" t="s">
        <v>9</v>
      </c>
    </row>
    <row r="389" spans="1:6" x14ac:dyDescent="0.25">
      <c r="A389">
        <v>388</v>
      </c>
      <c r="B389" t="s">
        <v>321</v>
      </c>
      <c r="C389" t="s">
        <v>378</v>
      </c>
      <c r="D389">
        <v>6300</v>
      </c>
      <c r="E389" t="s">
        <v>23</v>
      </c>
      <c r="F389" t="s">
        <v>9</v>
      </c>
    </row>
    <row r="390" spans="1:6" x14ac:dyDescent="0.25">
      <c r="A390">
        <v>389</v>
      </c>
      <c r="B390" t="s">
        <v>48</v>
      </c>
      <c r="C390" t="s">
        <v>379</v>
      </c>
      <c r="D390">
        <v>103600</v>
      </c>
      <c r="E390" t="s">
        <v>8</v>
      </c>
      <c r="F390" t="s">
        <v>9</v>
      </c>
    </row>
    <row r="391" spans="1:6" x14ac:dyDescent="0.25">
      <c r="A391">
        <v>390</v>
      </c>
      <c r="B391" t="s">
        <v>261</v>
      </c>
      <c r="C391" t="s">
        <v>380</v>
      </c>
      <c r="D391">
        <v>5000</v>
      </c>
      <c r="E391" t="s">
        <v>8</v>
      </c>
      <c r="F391" t="s">
        <v>9</v>
      </c>
    </row>
    <row r="392" spans="1:6" x14ac:dyDescent="0.25">
      <c r="A392">
        <v>391</v>
      </c>
      <c r="B392" t="s">
        <v>337</v>
      </c>
      <c r="C392" t="s">
        <v>381</v>
      </c>
      <c r="D392">
        <v>20500</v>
      </c>
      <c r="E392" t="s">
        <v>8</v>
      </c>
      <c r="F392" t="s">
        <v>20</v>
      </c>
    </row>
    <row r="393" spans="1:6" x14ac:dyDescent="0.25">
      <c r="A393">
        <v>392</v>
      </c>
      <c r="B393" t="s">
        <v>329</v>
      </c>
      <c r="C393" t="s">
        <v>382</v>
      </c>
      <c r="D393">
        <v>67700</v>
      </c>
      <c r="E393" t="s">
        <v>8</v>
      </c>
      <c r="F393" t="s">
        <v>9</v>
      </c>
    </row>
    <row r="394" spans="1:6" x14ac:dyDescent="0.25">
      <c r="A394">
        <v>393</v>
      </c>
      <c r="B394" t="s">
        <v>127</v>
      </c>
      <c r="C394" t="s">
        <v>383</v>
      </c>
      <c r="D394">
        <v>60900</v>
      </c>
      <c r="E394" t="s">
        <v>38</v>
      </c>
      <c r="F394" t="s">
        <v>20</v>
      </c>
    </row>
    <row r="395" spans="1:6" x14ac:dyDescent="0.25">
      <c r="A395">
        <v>394</v>
      </c>
      <c r="B395" t="s">
        <v>144</v>
      </c>
      <c r="C395" t="s">
        <v>384</v>
      </c>
      <c r="D395">
        <v>72000</v>
      </c>
      <c r="E395" t="s">
        <v>8</v>
      </c>
      <c r="F395" t="s">
        <v>9</v>
      </c>
    </row>
    <row r="396" spans="1:6" x14ac:dyDescent="0.25">
      <c r="A396">
        <v>395</v>
      </c>
      <c r="B396" t="s">
        <v>63</v>
      </c>
      <c r="C396" t="s">
        <v>385</v>
      </c>
      <c r="D396">
        <v>65300</v>
      </c>
      <c r="E396" t="s">
        <v>23</v>
      </c>
      <c r="F396" t="s">
        <v>9</v>
      </c>
    </row>
    <row r="397" spans="1:6" x14ac:dyDescent="0.25">
      <c r="A397">
        <v>396</v>
      </c>
      <c r="B397" t="s">
        <v>232</v>
      </c>
      <c r="C397" t="s">
        <v>386</v>
      </c>
      <c r="D397">
        <v>80100</v>
      </c>
      <c r="E397" t="s">
        <v>23</v>
      </c>
      <c r="F397" t="s">
        <v>9</v>
      </c>
    </row>
    <row r="398" spans="1:6" x14ac:dyDescent="0.25">
      <c r="A398">
        <v>397</v>
      </c>
      <c r="B398" t="s">
        <v>110</v>
      </c>
      <c r="C398" t="s">
        <v>375</v>
      </c>
      <c r="D398">
        <v>114800</v>
      </c>
      <c r="E398" t="s">
        <v>8</v>
      </c>
      <c r="F398" t="s">
        <v>9</v>
      </c>
    </row>
    <row r="399" spans="1:6" x14ac:dyDescent="0.25">
      <c r="A399">
        <v>398</v>
      </c>
      <c r="B399" t="s">
        <v>202</v>
      </c>
      <c r="C399" t="s">
        <v>376</v>
      </c>
      <c r="D399">
        <v>25800</v>
      </c>
      <c r="E399" t="s">
        <v>8</v>
      </c>
      <c r="F399" t="s">
        <v>20</v>
      </c>
    </row>
    <row r="400" spans="1:6" x14ac:dyDescent="0.25">
      <c r="A400">
        <v>399</v>
      </c>
      <c r="B400" t="s">
        <v>184</v>
      </c>
      <c r="C400" t="s">
        <v>377</v>
      </c>
      <c r="D400">
        <v>65500</v>
      </c>
      <c r="E400" t="s">
        <v>38</v>
      </c>
      <c r="F400" t="s">
        <v>20</v>
      </c>
    </row>
    <row r="401" spans="1:6" x14ac:dyDescent="0.25">
      <c r="A401">
        <v>400</v>
      </c>
      <c r="B401" t="s">
        <v>63</v>
      </c>
      <c r="C401" t="s">
        <v>378</v>
      </c>
      <c r="D401">
        <v>34500</v>
      </c>
      <c r="E401" t="s">
        <v>8</v>
      </c>
      <c r="F401" t="s">
        <v>9</v>
      </c>
    </row>
    <row r="402" spans="1:6" x14ac:dyDescent="0.25">
      <c r="A402">
        <v>401</v>
      </c>
      <c r="B402" t="s">
        <v>228</v>
      </c>
      <c r="C402" t="s">
        <v>379</v>
      </c>
      <c r="D402">
        <v>43100</v>
      </c>
      <c r="E402" t="s">
        <v>8</v>
      </c>
      <c r="F402" t="s">
        <v>9</v>
      </c>
    </row>
    <row r="403" spans="1:6" x14ac:dyDescent="0.25">
      <c r="A403">
        <v>402</v>
      </c>
      <c r="B403" t="s">
        <v>234</v>
      </c>
      <c r="C403" t="s">
        <v>380</v>
      </c>
      <c r="D403">
        <v>5000</v>
      </c>
      <c r="E403" t="s">
        <v>38</v>
      </c>
      <c r="F403" t="s">
        <v>20</v>
      </c>
    </row>
    <row r="404" spans="1:6" x14ac:dyDescent="0.25">
      <c r="A404">
        <v>403</v>
      </c>
      <c r="B404" t="s">
        <v>266</v>
      </c>
      <c r="C404" t="s">
        <v>381</v>
      </c>
      <c r="D404">
        <v>21200</v>
      </c>
      <c r="E404" t="s">
        <v>8</v>
      </c>
      <c r="F404" t="s">
        <v>9</v>
      </c>
    </row>
    <row r="405" spans="1:6" x14ac:dyDescent="0.25">
      <c r="A405">
        <v>404</v>
      </c>
      <c r="B405" t="s">
        <v>87</v>
      </c>
      <c r="C405" t="s">
        <v>382</v>
      </c>
      <c r="D405">
        <v>23000</v>
      </c>
      <c r="E405" t="s">
        <v>8</v>
      </c>
      <c r="F405" t="s">
        <v>9</v>
      </c>
    </row>
    <row r="406" spans="1:6" x14ac:dyDescent="0.25">
      <c r="A406">
        <v>405</v>
      </c>
      <c r="B406" t="s">
        <v>390</v>
      </c>
      <c r="C406" t="s">
        <v>383</v>
      </c>
      <c r="D406">
        <v>7100</v>
      </c>
      <c r="E406" t="s">
        <v>8</v>
      </c>
      <c r="F406" t="s">
        <v>20</v>
      </c>
    </row>
    <row r="407" spans="1:6" x14ac:dyDescent="0.25">
      <c r="A407">
        <v>406</v>
      </c>
      <c r="B407" t="s">
        <v>338</v>
      </c>
      <c r="C407" t="s">
        <v>384</v>
      </c>
      <c r="D407">
        <v>38900</v>
      </c>
      <c r="E407" t="s">
        <v>23</v>
      </c>
      <c r="F407" t="s">
        <v>9</v>
      </c>
    </row>
    <row r="408" spans="1:6" x14ac:dyDescent="0.25">
      <c r="A408">
        <v>407</v>
      </c>
      <c r="B408" t="s">
        <v>234</v>
      </c>
      <c r="C408" t="s">
        <v>385</v>
      </c>
      <c r="D408">
        <v>45200</v>
      </c>
      <c r="E408" t="s">
        <v>23</v>
      </c>
      <c r="F408" t="s">
        <v>9</v>
      </c>
    </row>
    <row r="409" spans="1:6" x14ac:dyDescent="0.25">
      <c r="A409">
        <v>408</v>
      </c>
      <c r="B409" t="s">
        <v>35</v>
      </c>
      <c r="C409" t="s">
        <v>386</v>
      </c>
      <c r="D409">
        <v>89800</v>
      </c>
      <c r="E409" t="s">
        <v>8</v>
      </c>
      <c r="F409" t="s">
        <v>9</v>
      </c>
    </row>
    <row r="410" spans="1:6" x14ac:dyDescent="0.25">
      <c r="A410">
        <v>409</v>
      </c>
      <c r="B410" t="s">
        <v>280</v>
      </c>
      <c r="C410" t="s">
        <v>375</v>
      </c>
      <c r="D410">
        <v>140300</v>
      </c>
      <c r="E410" t="s">
        <v>38</v>
      </c>
      <c r="F410" t="s">
        <v>20</v>
      </c>
    </row>
    <row r="411" spans="1:6" x14ac:dyDescent="0.25">
      <c r="A411">
        <v>410</v>
      </c>
      <c r="B411" t="s">
        <v>282</v>
      </c>
      <c r="C411" t="s">
        <v>376</v>
      </c>
      <c r="D411">
        <v>5000</v>
      </c>
      <c r="E411" t="s">
        <v>8</v>
      </c>
      <c r="F411" t="s">
        <v>9</v>
      </c>
    </row>
    <row r="412" spans="1:6" x14ac:dyDescent="0.25">
      <c r="A412">
        <v>411</v>
      </c>
      <c r="B412" t="s">
        <v>80</v>
      </c>
      <c r="C412" t="s">
        <v>377</v>
      </c>
      <c r="D412">
        <v>16300</v>
      </c>
      <c r="E412" t="s">
        <v>38</v>
      </c>
      <c r="F412" t="s">
        <v>20</v>
      </c>
    </row>
    <row r="413" spans="1:6" x14ac:dyDescent="0.25">
      <c r="A413">
        <v>412</v>
      </c>
      <c r="B413" t="s">
        <v>404</v>
      </c>
      <c r="C413" t="s">
        <v>378</v>
      </c>
      <c r="D413">
        <v>23900</v>
      </c>
      <c r="E413" t="s">
        <v>8</v>
      </c>
      <c r="F413" t="s">
        <v>9</v>
      </c>
    </row>
    <row r="414" spans="1:6" x14ac:dyDescent="0.25">
      <c r="A414">
        <v>413</v>
      </c>
      <c r="B414" t="s">
        <v>114</v>
      </c>
      <c r="C414" t="s">
        <v>379</v>
      </c>
      <c r="D414">
        <v>31300</v>
      </c>
      <c r="E414" t="s">
        <v>23</v>
      </c>
      <c r="F414" t="s">
        <v>9</v>
      </c>
    </row>
    <row r="415" spans="1:6" x14ac:dyDescent="0.25">
      <c r="A415">
        <v>414</v>
      </c>
      <c r="B415" t="s">
        <v>84</v>
      </c>
      <c r="C415" t="s">
        <v>380</v>
      </c>
      <c r="D415">
        <v>164500</v>
      </c>
      <c r="E415" t="s">
        <v>8</v>
      </c>
      <c r="F415" t="s">
        <v>20</v>
      </c>
    </row>
    <row r="416" spans="1:6" x14ac:dyDescent="0.25">
      <c r="A416">
        <v>415</v>
      </c>
      <c r="B416" t="s">
        <v>329</v>
      </c>
      <c r="C416" t="s">
        <v>381</v>
      </c>
      <c r="D416">
        <v>75600</v>
      </c>
      <c r="E416" t="s">
        <v>38</v>
      </c>
      <c r="F416" t="s">
        <v>9</v>
      </c>
    </row>
    <row r="417" spans="1:6" x14ac:dyDescent="0.25">
      <c r="A417">
        <v>416</v>
      </c>
      <c r="B417" t="s">
        <v>373</v>
      </c>
      <c r="C417" t="s">
        <v>382</v>
      </c>
      <c r="D417">
        <v>11300</v>
      </c>
      <c r="E417" t="s">
        <v>38</v>
      </c>
      <c r="F417" t="s">
        <v>20</v>
      </c>
    </row>
    <row r="418" spans="1:6" x14ac:dyDescent="0.25">
      <c r="A418">
        <v>417</v>
      </c>
      <c r="B418" t="s">
        <v>164</v>
      </c>
      <c r="C418" t="s">
        <v>383</v>
      </c>
      <c r="D418">
        <v>18900</v>
      </c>
      <c r="E418" t="s">
        <v>8</v>
      </c>
      <c r="F418" t="s">
        <v>9</v>
      </c>
    </row>
    <row r="419" spans="1:6" x14ac:dyDescent="0.25">
      <c r="A419">
        <v>418</v>
      </c>
      <c r="B419" t="s">
        <v>180</v>
      </c>
      <c r="C419" t="s">
        <v>384</v>
      </c>
      <c r="D419">
        <v>13800</v>
      </c>
      <c r="E419" t="s">
        <v>38</v>
      </c>
      <c r="F419" t="s">
        <v>20</v>
      </c>
    </row>
    <row r="420" spans="1:6" x14ac:dyDescent="0.25">
      <c r="A420">
        <v>419</v>
      </c>
      <c r="B420" t="s">
        <v>372</v>
      </c>
      <c r="C420" t="s">
        <v>385</v>
      </c>
      <c r="D420">
        <v>22300</v>
      </c>
      <c r="E420" t="s">
        <v>8</v>
      </c>
      <c r="F420" t="s">
        <v>20</v>
      </c>
    </row>
    <row r="421" spans="1:6" x14ac:dyDescent="0.25">
      <c r="A421">
        <v>420</v>
      </c>
      <c r="B421" t="s">
        <v>62</v>
      </c>
      <c r="C421" t="s">
        <v>386</v>
      </c>
      <c r="D421">
        <v>13300</v>
      </c>
      <c r="E421" t="s">
        <v>23</v>
      </c>
      <c r="F421" t="s">
        <v>9</v>
      </c>
    </row>
    <row r="422" spans="1:6" x14ac:dyDescent="0.25">
      <c r="A422">
        <v>421</v>
      </c>
      <c r="B422" t="s">
        <v>184</v>
      </c>
      <c r="C422" t="s">
        <v>375</v>
      </c>
      <c r="D422">
        <v>147500</v>
      </c>
      <c r="E422" t="s">
        <v>38</v>
      </c>
      <c r="F422" t="s">
        <v>20</v>
      </c>
    </row>
    <row r="423" spans="1:6" x14ac:dyDescent="0.25">
      <c r="A423">
        <v>422</v>
      </c>
      <c r="B423" t="s">
        <v>370</v>
      </c>
      <c r="C423" t="s">
        <v>376</v>
      </c>
      <c r="D423">
        <v>5000</v>
      </c>
      <c r="E423" t="s">
        <v>8</v>
      </c>
      <c r="F423" t="s">
        <v>9</v>
      </c>
    </row>
    <row r="424" spans="1:6" x14ac:dyDescent="0.25">
      <c r="A424">
        <v>423</v>
      </c>
      <c r="B424" t="s">
        <v>116</v>
      </c>
      <c r="C424" t="s">
        <v>377</v>
      </c>
      <c r="D424">
        <v>34400</v>
      </c>
      <c r="E424" t="s">
        <v>23</v>
      </c>
      <c r="F424" t="s">
        <v>9</v>
      </c>
    </row>
    <row r="425" spans="1:6" x14ac:dyDescent="0.25">
      <c r="A425">
        <v>424</v>
      </c>
      <c r="B425" t="s">
        <v>270</v>
      </c>
      <c r="C425" t="s">
        <v>378</v>
      </c>
      <c r="D425">
        <v>90000</v>
      </c>
      <c r="E425" t="s">
        <v>8</v>
      </c>
      <c r="F425" t="s">
        <v>9</v>
      </c>
    </row>
    <row r="426" spans="1:6" x14ac:dyDescent="0.25">
      <c r="A426">
        <v>425</v>
      </c>
      <c r="B426" t="s">
        <v>282</v>
      </c>
      <c r="C426" t="s">
        <v>379</v>
      </c>
      <c r="D426">
        <v>40100</v>
      </c>
      <c r="E426" t="s">
        <v>8</v>
      </c>
      <c r="F426" t="s">
        <v>9</v>
      </c>
    </row>
    <row r="427" spans="1:6" x14ac:dyDescent="0.25">
      <c r="A427">
        <v>426</v>
      </c>
      <c r="B427" t="s">
        <v>205</v>
      </c>
      <c r="C427" t="s">
        <v>380</v>
      </c>
      <c r="D427">
        <v>11200</v>
      </c>
      <c r="E427" t="s">
        <v>38</v>
      </c>
      <c r="F427" t="s">
        <v>20</v>
      </c>
    </row>
    <row r="428" spans="1:6" x14ac:dyDescent="0.25">
      <c r="A428">
        <v>427</v>
      </c>
      <c r="B428" t="s">
        <v>142</v>
      </c>
      <c r="C428" t="s">
        <v>381</v>
      </c>
      <c r="D428">
        <v>64800</v>
      </c>
      <c r="E428" t="s">
        <v>23</v>
      </c>
      <c r="F428" t="s">
        <v>9</v>
      </c>
    </row>
    <row r="429" spans="1:6" x14ac:dyDescent="0.25">
      <c r="A429">
        <v>428</v>
      </c>
      <c r="B429" t="s">
        <v>90</v>
      </c>
      <c r="C429" t="s">
        <v>382</v>
      </c>
      <c r="D429">
        <v>18700</v>
      </c>
      <c r="E429" t="s">
        <v>38</v>
      </c>
      <c r="F429" t="s">
        <v>20</v>
      </c>
    </row>
    <row r="430" spans="1:6" x14ac:dyDescent="0.25">
      <c r="A430">
        <v>429</v>
      </c>
      <c r="B430" t="s">
        <v>93</v>
      </c>
      <c r="C430" t="s">
        <v>383</v>
      </c>
      <c r="D430">
        <v>34600</v>
      </c>
      <c r="E430" t="s">
        <v>38</v>
      </c>
      <c r="F430" t="s">
        <v>9</v>
      </c>
    </row>
    <row r="431" spans="1:6" x14ac:dyDescent="0.25">
      <c r="A431">
        <v>430</v>
      </c>
      <c r="B431" t="s">
        <v>388</v>
      </c>
      <c r="C431" t="s">
        <v>384</v>
      </c>
      <c r="D431">
        <v>29200</v>
      </c>
      <c r="E431" t="s">
        <v>8</v>
      </c>
      <c r="F431" t="s">
        <v>20</v>
      </c>
    </row>
    <row r="432" spans="1:6" x14ac:dyDescent="0.25">
      <c r="A432">
        <v>431</v>
      </c>
      <c r="B432" t="s">
        <v>387</v>
      </c>
      <c r="C432" t="s">
        <v>385</v>
      </c>
      <c r="D432">
        <v>79100</v>
      </c>
      <c r="E432" t="s">
        <v>23</v>
      </c>
      <c r="F432" t="s">
        <v>9</v>
      </c>
    </row>
    <row r="433" spans="1:6" x14ac:dyDescent="0.25">
      <c r="A433">
        <v>432</v>
      </c>
      <c r="B433" t="s">
        <v>374</v>
      </c>
      <c r="C433" t="s">
        <v>386</v>
      </c>
      <c r="D433">
        <v>11000</v>
      </c>
      <c r="E433" t="s">
        <v>23</v>
      </c>
      <c r="F433" t="s">
        <v>9</v>
      </c>
    </row>
    <row r="434" spans="1:6" x14ac:dyDescent="0.25">
      <c r="A434">
        <v>433</v>
      </c>
      <c r="B434" t="s">
        <v>372</v>
      </c>
      <c r="C434" t="s">
        <v>375</v>
      </c>
      <c r="D434">
        <v>23600</v>
      </c>
      <c r="E434" t="s">
        <v>38</v>
      </c>
      <c r="F434" t="s">
        <v>20</v>
      </c>
    </row>
    <row r="435" spans="1:6" x14ac:dyDescent="0.25">
      <c r="A435">
        <v>434</v>
      </c>
      <c r="B435" t="s">
        <v>161</v>
      </c>
      <c r="C435" t="s">
        <v>376</v>
      </c>
      <c r="D435">
        <v>25300</v>
      </c>
      <c r="E435" t="s">
        <v>38</v>
      </c>
      <c r="F435" t="s">
        <v>20</v>
      </c>
    </row>
    <row r="436" spans="1:6" x14ac:dyDescent="0.25">
      <c r="A436">
        <v>435</v>
      </c>
      <c r="B436" t="s">
        <v>79</v>
      </c>
      <c r="C436" t="s">
        <v>377</v>
      </c>
      <c r="D436">
        <v>7300</v>
      </c>
      <c r="E436" t="s">
        <v>8</v>
      </c>
      <c r="F436" t="s">
        <v>20</v>
      </c>
    </row>
    <row r="437" spans="1:6" x14ac:dyDescent="0.25">
      <c r="A437">
        <v>436</v>
      </c>
      <c r="B437" t="s">
        <v>34</v>
      </c>
      <c r="C437" t="s">
        <v>378</v>
      </c>
      <c r="D437">
        <v>36300</v>
      </c>
      <c r="E437" t="s">
        <v>8</v>
      </c>
      <c r="F437" t="s">
        <v>9</v>
      </c>
    </row>
    <row r="438" spans="1:6" x14ac:dyDescent="0.25">
      <c r="A438">
        <v>437</v>
      </c>
      <c r="B438" t="s">
        <v>117</v>
      </c>
      <c r="C438" t="s">
        <v>379</v>
      </c>
      <c r="D438">
        <v>18000</v>
      </c>
      <c r="E438" t="s">
        <v>38</v>
      </c>
      <c r="F438" t="s">
        <v>20</v>
      </c>
    </row>
    <row r="439" spans="1:6" x14ac:dyDescent="0.25">
      <c r="A439">
        <v>438</v>
      </c>
      <c r="B439" t="s">
        <v>270</v>
      </c>
      <c r="C439" t="s">
        <v>380</v>
      </c>
      <c r="D439">
        <v>30000</v>
      </c>
      <c r="E439" t="s">
        <v>8</v>
      </c>
      <c r="F439" t="s">
        <v>9</v>
      </c>
    </row>
    <row r="440" spans="1:6" x14ac:dyDescent="0.25">
      <c r="A440">
        <v>439</v>
      </c>
      <c r="B440" t="s">
        <v>118</v>
      </c>
      <c r="C440" t="s">
        <v>381</v>
      </c>
      <c r="D440">
        <v>14500</v>
      </c>
      <c r="E440" t="s">
        <v>8</v>
      </c>
      <c r="F440" t="s">
        <v>20</v>
      </c>
    </row>
    <row r="441" spans="1:6" x14ac:dyDescent="0.25">
      <c r="A441">
        <v>440</v>
      </c>
      <c r="B441" t="s">
        <v>205</v>
      </c>
      <c r="C441" t="s">
        <v>382</v>
      </c>
      <c r="D441">
        <v>85500</v>
      </c>
      <c r="E441" t="s">
        <v>38</v>
      </c>
      <c r="F441" t="s">
        <v>20</v>
      </c>
    </row>
    <row r="442" spans="1:6" x14ac:dyDescent="0.25">
      <c r="A442">
        <v>441</v>
      </c>
      <c r="B442" t="s">
        <v>152</v>
      </c>
      <c r="C442" t="s">
        <v>383</v>
      </c>
      <c r="D442">
        <v>8000</v>
      </c>
      <c r="E442" t="s">
        <v>8</v>
      </c>
      <c r="F442" t="s">
        <v>9</v>
      </c>
    </row>
    <row r="443" spans="1:6" x14ac:dyDescent="0.25">
      <c r="A443">
        <v>442</v>
      </c>
      <c r="B443" t="s">
        <v>287</v>
      </c>
      <c r="C443" t="s">
        <v>384</v>
      </c>
      <c r="D443">
        <v>23900</v>
      </c>
      <c r="E443" t="s">
        <v>8</v>
      </c>
      <c r="F443" t="s">
        <v>9</v>
      </c>
    </row>
    <row r="444" spans="1:6" x14ac:dyDescent="0.25">
      <c r="A444">
        <v>443</v>
      </c>
      <c r="B444" t="s">
        <v>178</v>
      </c>
      <c r="C444" t="s">
        <v>385</v>
      </c>
      <c r="D444">
        <v>35600</v>
      </c>
      <c r="E444" t="s">
        <v>8</v>
      </c>
      <c r="F444" t="s">
        <v>9</v>
      </c>
    </row>
    <row r="445" spans="1:6" x14ac:dyDescent="0.25">
      <c r="A445">
        <v>444</v>
      </c>
      <c r="B445" t="s">
        <v>249</v>
      </c>
      <c r="C445" t="s">
        <v>386</v>
      </c>
      <c r="D445">
        <v>38800</v>
      </c>
      <c r="E445" t="s">
        <v>8</v>
      </c>
      <c r="F445" t="s">
        <v>9</v>
      </c>
    </row>
    <row r="446" spans="1:6" x14ac:dyDescent="0.25">
      <c r="A446">
        <v>445</v>
      </c>
      <c r="B446" t="s">
        <v>334</v>
      </c>
      <c r="C446" t="s">
        <v>375</v>
      </c>
      <c r="D446">
        <v>23800</v>
      </c>
      <c r="E446" t="s">
        <v>8</v>
      </c>
      <c r="F446" t="s">
        <v>9</v>
      </c>
    </row>
    <row r="447" spans="1:6" x14ac:dyDescent="0.25">
      <c r="A447">
        <v>446</v>
      </c>
      <c r="B447" t="s">
        <v>198</v>
      </c>
      <c r="C447" t="s">
        <v>376</v>
      </c>
      <c r="D447">
        <v>9600</v>
      </c>
      <c r="E447" t="s">
        <v>8</v>
      </c>
      <c r="F447" t="s">
        <v>9</v>
      </c>
    </row>
    <row r="448" spans="1:6" x14ac:dyDescent="0.25">
      <c r="A448">
        <v>447</v>
      </c>
      <c r="B448" t="s">
        <v>388</v>
      </c>
      <c r="C448" t="s">
        <v>377</v>
      </c>
      <c r="D448">
        <v>133800</v>
      </c>
      <c r="E448" t="s">
        <v>8</v>
      </c>
      <c r="F448" t="s">
        <v>9</v>
      </c>
    </row>
    <row r="449" spans="1:6" x14ac:dyDescent="0.25">
      <c r="A449">
        <v>448</v>
      </c>
      <c r="B449" t="s">
        <v>342</v>
      </c>
      <c r="C449" t="s">
        <v>378</v>
      </c>
      <c r="D449">
        <v>159200</v>
      </c>
      <c r="E449" t="s">
        <v>8</v>
      </c>
      <c r="F449" t="s">
        <v>9</v>
      </c>
    </row>
    <row r="450" spans="1:6" x14ac:dyDescent="0.25">
      <c r="A450">
        <v>449</v>
      </c>
      <c r="B450" t="s">
        <v>350</v>
      </c>
      <c r="C450" t="s">
        <v>379</v>
      </c>
      <c r="D450">
        <v>22400</v>
      </c>
      <c r="E450" t="s">
        <v>8</v>
      </c>
      <c r="F450" t="s">
        <v>20</v>
      </c>
    </row>
    <row r="451" spans="1:6" x14ac:dyDescent="0.25">
      <c r="A451">
        <v>450</v>
      </c>
      <c r="B451" t="s">
        <v>161</v>
      </c>
      <c r="C451" t="s">
        <v>380</v>
      </c>
      <c r="D451">
        <v>36900</v>
      </c>
      <c r="E451" t="s">
        <v>23</v>
      </c>
      <c r="F451" t="s">
        <v>9</v>
      </c>
    </row>
    <row r="452" spans="1:6" x14ac:dyDescent="0.25">
      <c r="A452">
        <v>451</v>
      </c>
      <c r="B452" t="s">
        <v>188</v>
      </c>
      <c r="C452" t="s">
        <v>381</v>
      </c>
      <c r="D452">
        <v>69300</v>
      </c>
      <c r="E452" t="s">
        <v>8</v>
      </c>
      <c r="F452" t="s">
        <v>20</v>
      </c>
    </row>
    <row r="453" spans="1:6" x14ac:dyDescent="0.25">
      <c r="A453">
        <v>452</v>
      </c>
      <c r="B453" t="s">
        <v>350</v>
      </c>
      <c r="C453" t="s">
        <v>382</v>
      </c>
      <c r="D453">
        <v>117300</v>
      </c>
      <c r="E453" t="s">
        <v>8</v>
      </c>
      <c r="F453" t="s">
        <v>9</v>
      </c>
    </row>
    <row r="454" spans="1:6" x14ac:dyDescent="0.25">
      <c r="A454">
        <v>453</v>
      </c>
      <c r="B454" t="s">
        <v>111</v>
      </c>
      <c r="C454" t="s">
        <v>383</v>
      </c>
      <c r="D454">
        <v>48900</v>
      </c>
      <c r="E454" t="s">
        <v>23</v>
      </c>
      <c r="F454" t="s">
        <v>9</v>
      </c>
    </row>
    <row r="455" spans="1:6" x14ac:dyDescent="0.25">
      <c r="A455">
        <v>454</v>
      </c>
      <c r="B455" t="s">
        <v>401</v>
      </c>
      <c r="C455" t="s">
        <v>384</v>
      </c>
      <c r="D455">
        <v>20300</v>
      </c>
      <c r="E455" t="s">
        <v>8</v>
      </c>
      <c r="F455" t="s">
        <v>9</v>
      </c>
    </row>
    <row r="456" spans="1:6" x14ac:dyDescent="0.25">
      <c r="A456">
        <v>455</v>
      </c>
      <c r="B456" t="s">
        <v>249</v>
      </c>
      <c r="C456" t="s">
        <v>385</v>
      </c>
      <c r="D456">
        <v>18100</v>
      </c>
      <c r="E456" t="s">
        <v>23</v>
      </c>
      <c r="F456" t="s">
        <v>20</v>
      </c>
    </row>
    <row r="457" spans="1:6" x14ac:dyDescent="0.25">
      <c r="A457">
        <v>456</v>
      </c>
      <c r="B457" t="s">
        <v>179</v>
      </c>
      <c r="C457" t="s">
        <v>386</v>
      </c>
      <c r="D457">
        <v>75000</v>
      </c>
      <c r="E457" t="s">
        <v>38</v>
      </c>
      <c r="F457" t="s">
        <v>9</v>
      </c>
    </row>
    <row r="458" spans="1:6" x14ac:dyDescent="0.25">
      <c r="A458">
        <v>457</v>
      </c>
      <c r="B458" t="s">
        <v>18</v>
      </c>
      <c r="C458" t="s">
        <v>375</v>
      </c>
      <c r="D458">
        <v>117800</v>
      </c>
      <c r="E458" t="s">
        <v>8</v>
      </c>
      <c r="F458" t="s">
        <v>9</v>
      </c>
    </row>
    <row r="459" spans="1:6" x14ac:dyDescent="0.25">
      <c r="A459">
        <v>458</v>
      </c>
      <c r="B459" t="s">
        <v>157</v>
      </c>
      <c r="C459" t="s">
        <v>376</v>
      </c>
      <c r="D459">
        <v>29600</v>
      </c>
      <c r="E459" t="s">
        <v>8</v>
      </c>
      <c r="F459" t="s">
        <v>9</v>
      </c>
    </row>
    <row r="460" spans="1:6" x14ac:dyDescent="0.25">
      <c r="A460">
        <v>459</v>
      </c>
      <c r="B460" t="s">
        <v>62</v>
      </c>
      <c r="C460" t="s">
        <v>377</v>
      </c>
      <c r="D460">
        <v>72200</v>
      </c>
      <c r="E460" t="s">
        <v>23</v>
      </c>
      <c r="F460" t="s">
        <v>9</v>
      </c>
    </row>
    <row r="461" spans="1:6" x14ac:dyDescent="0.25">
      <c r="A461">
        <v>460</v>
      </c>
      <c r="B461" t="s">
        <v>147</v>
      </c>
      <c r="C461" t="s">
        <v>378</v>
      </c>
      <c r="D461">
        <v>138200</v>
      </c>
      <c r="E461" t="s">
        <v>8</v>
      </c>
      <c r="F461" t="s">
        <v>20</v>
      </c>
    </row>
    <row r="462" spans="1:6" x14ac:dyDescent="0.25">
      <c r="A462">
        <v>461</v>
      </c>
      <c r="B462" t="s">
        <v>261</v>
      </c>
      <c r="C462" t="s">
        <v>379</v>
      </c>
      <c r="D462">
        <v>5300</v>
      </c>
      <c r="E462" t="s">
        <v>8</v>
      </c>
      <c r="F462" t="s">
        <v>9</v>
      </c>
    </row>
    <row r="463" spans="1:6" x14ac:dyDescent="0.25">
      <c r="A463">
        <v>462</v>
      </c>
      <c r="B463" t="s">
        <v>156</v>
      </c>
      <c r="C463" t="s">
        <v>380</v>
      </c>
      <c r="D463">
        <v>5000</v>
      </c>
      <c r="E463" t="s">
        <v>23</v>
      </c>
      <c r="F463" t="s">
        <v>9</v>
      </c>
    </row>
    <row r="464" spans="1:6" x14ac:dyDescent="0.25">
      <c r="A464">
        <v>463</v>
      </c>
      <c r="B464" t="s">
        <v>70</v>
      </c>
      <c r="C464" t="s">
        <v>381</v>
      </c>
      <c r="D464">
        <v>42500</v>
      </c>
      <c r="E464" t="s">
        <v>23</v>
      </c>
      <c r="F464" t="s">
        <v>9</v>
      </c>
    </row>
    <row r="465" spans="1:6" x14ac:dyDescent="0.25">
      <c r="A465">
        <v>464</v>
      </c>
      <c r="B465" t="s">
        <v>129</v>
      </c>
      <c r="C465" t="s">
        <v>382</v>
      </c>
      <c r="D465">
        <v>38700</v>
      </c>
      <c r="E465" t="s">
        <v>8</v>
      </c>
      <c r="F465" t="s">
        <v>9</v>
      </c>
    </row>
    <row r="466" spans="1:6" x14ac:dyDescent="0.25">
      <c r="A466">
        <v>465</v>
      </c>
      <c r="B466" t="s">
        <v>168</v>
      </c>
      <c r="C466" t="s">
        <v>383</v>
      </c>
      <c r="D466">
        <v>71900</v>
      </c>
      <c r="E466" t="s">
        <v>8</v>
      </c>
      <c r="F466" t="s">
        <v>9</v>
      </c>
    </row>
    <row r="467" spans="1:6" x14ac:dyDescent="0.25">
      <c r="A467">
        <v>466</v>
      </c>
      <c r="B467" t="s">
        <v>263</v>
      </c>
      <c r="C467" t="s">
        <v>384</v>
      </c>
      <c r="D467">
        <v>43900</v>
      </c>
      <c r="E467" t="s">
        <v>38</v>
      </c>
      <c r="F467" t="s">
        <v>20</v>
      </c>
    </row>
    <row r="468" spans="1:6" x14ac:dyDescent="0.25">
      <c r="A468">
        <v>467</v>
      </c>
      <c r="B468" t="s">
        <v>135</v>
      </c>
      <c r="C468" t="s">
        <v>385</v>
      </c>
      <c r="D468">
        <v>200900</v>
      </c>
      <c r="E468" t="s">
        <v>38</v>
      </c>
      <c r="F468" t="s">
        <v>20</v>
      </c>
    </row>
    <row r="469" spans="1:6" x14ac:dyDescent="0.25">
      <c r="A469">
        <v>468</v>
      </c>
      <c r="B469" t="s">
        <v>47</v>
      </c>
      <c r="C469" t="s">
        <v>386</v>
      </c>
      <c r="D469">
        <v>234600</v>
      </c>
      <c r="E469" t="s">
        <v>38</v>
      </c>
      <c r="F469" t="s">
        <v>20</v>
      </c>
    </row>
    <row r="470" spans="1:6" x14ac:dyDescent="0.25">
      <c r="A470">
        <v>469</v>
      </c>
      <c r="B470" t="s">
        <v>72</v>
      </c>
      <c r="C470" t="s">
        <v>375</v>
      </c>
      <c r="D470">
        <v>10700</v>
      </c>
      <c r="E470" t="s">
        <v>8</v>
      </c>
      <c r="F470" t="s">
        <v>9</v>
      </c>
    </row>
    <row r="471" spans="1:6" x14ac:dyDescent="0.25">
      <c r="A471">
        <v>470</v>
      </c>
      <c r="B471" t="s">
        <v>341</v>
      </c>
      <c r="C471" t="s">
        <v>376</v>
      </c>
      <c r="D471">
        <v>91900</v>
      </c>
      <c r="E471" t="s">
        <v>23</v>
      </c>
      <c r="F471" t="s">
        <v>9</v>
      </c>
    </row>
    <row r="472" spans="1:6" x14ac:dyDescent="0.25">
      <c r="A472">
        <v>471</v>
      </c>
      <c r="B472" t="s">
        <v>362</v>
      </c>
      <c r="C472" t="s">
        <v>377</v>
      </c>
      <c r="D472">
        <v>32500</v>
      </c>
      <c r="E472" t="s">
        <v>38</v>
      </c>
      <c r="F472" t="s">
        <v>20</v>
      </c>
    </row>
    <row r="473" spans="1:6" x14ac:dyDescent="0.25">
      <c r="A473">
        <v>472</v>
      </c>
      <c r="B473" t="s">
        <v>84</v>
      </c>
      <c r="C473" t="s">
        <v>378</v>
      </c>
      <c r="D473">
        <v>22000</v>
      </c>
      <c r="E473" t="s">
        <v>8</v>
      </c>
      <c r="F473" t="s">
        <v>9</v>
      </c>
    </row>
    <row r="474" spans="1:6" x14ac:dyDescent="0.25">
      <c r="A474">
        <v>473</v>
      </c>
      <c r="B474" t="s">
        <v>86</v>
      </c>
      <c r="C474" t="s">
        <v>379</v>
      </c>
      <c r="D474">
        <v>21300</v>
      </c>
      <c r="E474" t="s">
        <v>8</v>
      </c>
      <c r="F474" t="s">
        <v>9</v>
      </c>
    </row>
    <row r="475" spans="1:6" x14ac:dyDescent="0.25">
      <c r="A475">
        <v>474</v>
      </c>
      <c r="B475" t="s">
        <v>365</v>
      </c>
      <c r="C475" t="s">
        <v>380</v>
      </c>
      <c r="D475">
        <v>24300</v>
      </c>
      <c r="E475" t="s">
        <v>8</v>
      </c>
      <c r="F475" t="s">
        <v>9</v>
      </c>
    </row>
    <row r="476" spans="1:6" x14ac:dyDescent="0.25">
      <c r="A476">
        <v>475</v>
      </c>
      <c r="B476" t="s">
        <v>373</v>
      </c>
      <c r="C476" t="s">
        <v>381</v>
      </c>
      <c r="D476">
        <v>38700</v>
      </c>
      <c r="E476" t="s">
        <v>23</v>
      </c>
      <c r="F476" t="s">
        <v>9</v>
      </c>
    </row>
    <row r="477" spans="1:6" x14ac:dyDescent="0.25">
      <c r="A477">
        <v>476</v>
      </c>
      <c r="B477" t="s">
        <v>266</v>
      </c>
      <c r="C477" t="s">
        <v>382</v>
      </c>
      <c r="D477">
        <v>30300</v>
      </c>
      <c r="E477" t="s">
        <v>38</v>
      </c>
      <c r="F477" t="s">
        <v>20</v>
      </c>
    </row>
    <row r="478" spans="1:6" x14ac:dyDescent="0.25">
      <c r="A478">
        <v>477</v>
      </c>
      <c r="B478" t="s">
        <v>113</v>
      </c>
      <c r="C478" t="s">
        <v>383</v>
      </c>
      <c r="D478">
        <v>26400</v>
      </c>
      <c r="E478" t="s">
        <v>8</v>
      </c>
      <c r="F478" t="s">
        <v>20</v>
      </c>
    </row>
    <row r="479" spans="1:6" x14ac:dyDescent="0.25">
      <c r="A479">
        <v>478</v>
      </c>
      <c r="B479" t="s">
        <v>14</v>
      </c>
      <c r="C479" t="s">
        <v>384</v>
      </c>
      <c r="D479">
        <v>5000</v>
      </c>
      <c r="E479" t="s">
        <v>8</v>
      </c>
      <c r="F479" t="s">
        <v>9</v>
      </c>
    </row>
    <row r="480" spans="1:6" x14ac:dyDescent="0.25">
      <c r="A480">
        <v>479</v>
      </c>
      <c r="B480" t="s">
        <v>18</v>
      </c>
      <c r="C480" t="s">
        <v>385</v>
      </c>
      <c r="D480">
        <v>33400</v>
      </c>
      <c r="E480" t="s">
        <v>8</v>
      </c>
      <c r="F480" t="s">
        <v>9</v>
      </c>
    </row>
    <row r="481" spans="1:6" x14ac:dyDescent="0.25">
      <c r="A481">
        <v>480</v>
      </c>
      <c r="B481" t="s">
        <v>329</v>
      </c>
      <c r="C481" t="s">
        <v>386</v>
      </c>
      <c r="D481">
        <v>33400</v>
      </c>
      <c r="E481" t="s">
        <v>8</v>
      </c>
      <c r="F481" t="s">
        <v>9</v>
      </c>
    </row>
    <row r="482" spans="1:6" x14ac:dyDescent="0.25">
      <c r="A482">
        <v>481</v>
      </c>
      <c r="B482" t="s">
        <v>371</v>
      </c>
      <c r="C482" t="s">
        <v>375</v>
      </c>
      <c r="D482">
        <v>102700</v>
      </c>
      <c r="E482" t="s">
        <v>23</v>
      </c>
      <c r="F482" t="s">
        <v>9</v>
      </c>
    </row>
    <row r="483" spans="1:6" x14ac:dyDescent="0.25">
      <c r="A483">
        <v>482</v>
      </c>
      <c r="B483" t="s">
        <v>197</v>
      </c>
      <c r="C483" t="s">
        <v>376</v>
      </c>
      <c r="D483">
        <v>18000</v>
      </c>
      <c r="E483" t="s">
        <v>23</v>
      </c>
      <c r="F483" t="s">
        <v>20</v>
      </c>
    </row>
    <row r="484" spans="1:6" x14ac:dyDescent="0.25">
      <c r="A484">
        <v>483</v>
      </c>
      <c r="B484" t="s">
        <v>266</v>
      </c>
      <c r="C484" t="s">
        <v>377</v>
      </c>
      <c r="D484">
        <v>5000</v>
      </c>
      <c r="E484" t="s">
        <v>38</v>
      </c>
      <c r="F484" t="s">
        <v>20</v>
      </c>
    </row>
    <row r="485" spans="1:6" x14ac:dyDescent="0.25">
      <c r="A485">
        <v>484</v>
      </c>
      <c r="B485" t="s">
        <v>46</v>
      </c>
      <c r="C485" t="s">
        <v>378</v>
      </c>
      <c r="D485">
        <v>11000</v>
      </c>
      <c r="E485" t="s">
        <v>23</v>
      </c>
      <c r="F485" t="s">
        <v>9</v>
      </c>
    </row>
    <row r="486" spans="1:6" x14ac:dyDescent="0.25">
      <c r="A486">
        <v>485</v>
      </c>
      <c r="B486" t="s">
        <v>269</v>
      </c>
      <c r="C486" t="s">
        <v>379</v>
      </c>
      <c r="D486">
        <v>18100</v>
      </c>
      <c r="E486" t="s">
        <v>8</v>
      </c>
      <c r="F486" t="s">
        <v>9</v>
      </c>
    </row>
    <row r="487" spans="1:6" x14ac:dyDescent="0.25">
      <c r="A487">
        <v>486</v>
      </c>
      <c r="B487" t="s">
        <v>93</v>
      </c>
      <c r="C487" t="s">
        <v>380</v>
      </c>
      <c r="D487">
        <v>9700</v>
      </c>
      <c r="E487" t="s">
        <v>8</v>
      </c>
      <c r="F487" t="s">
        <v>9</v>
      </c>
    </row>
    <row r="488" spans="1:6" x14ac:dyDescent="0.25">
      <c r="A488">
        <v>487</v>
      </c>
      <c r="B488" t="s">
        <v>69</v>
      </c>
      <c r="C488" t="s">
        <v>381</v>
      </c>
      <c r="D488">
        <v>12200</v>
      </c>
      <c r="E488" t="s">
        <v>23</v>
      </c>
      <c r="F488" t="s">
        <v>9</v>
      </c>
    </row>
    <row r="489" spans="1:6" x14ac:dyDescent="0.25">
      <c r="A489">
        <v>488</v>
      </c>
      <c r="B489" t="s">
        <v>83</v>
      </c>
      <c r="C489" t="s">
        <v>382</v>
      </c>
      <c r="D489">
        <v>7700</v>
      </c>
      <c r="E489" t="s">
        <v>23</v>
      </c>
      <c r="F489" t="s">
        <v>9</v>
      </c>
    </row>
    <row r="490" spans="1:6" x14ac:dyDescent="0.25">
      <c r="A490">
        <v>489</v>
      </c>
      <c r="B490" t="s">
        <v>115</v>
      </c>
      <c r="C490" t="s">
        <v>383</v>
      </c>
      <c r="D490">
        <v>125900</v>
      </c>
      <c r="E490" t="s">
        <v>8</v>
      </c>
      <c r="F490" t="s">
        <v>9</v>
      </c>
    </row>
    <row r="491" spans="1:6" x14ac:dyDescent="0.25">
      <c r="A491">
        <v>490</v>
      </c>
      <c r="B491" t="s">
        <v>233</v>
      </c>
      <c r="C491" t="s">
        <v>384</v>
      </c>
      <c r="D491">
        <v>56400</v>
      </c>
      <c r="E491" t="s">
        <v>23</v>
      </c>
      <c r="F491" t="s">
        <v>9</v>
      </c>
    </row>
    <row r="492" spans="1:6" x14ac:dyDescent="0.25">
      <c r="A492">
        <v>491</v>
      </c>
      <c r="B492" t="s">
        <v>344</v>
      </c>
      <c r="C492" t="s">
        <v>385</v>
      </c>
      <c r="D492">
        <v>41700</v>
      </c>
      <c r="E492" t="s">
        <v>23</v>
      </c>
      <c r="F492" t="s">
        <v>9</v>
      </c>
    </row>
    <row r="493" spans="1:6" x14ac:dyDescent="0.25">
      <c r="A493">
        <v>492</v>
      </c>
      <c r="B493" t="s">
        <v>164</v>
      </c>
      <c r="C493" t="s">
        <v>375</v>
      </c>
      <c r="D493">
        <v>450000</v>
      </c>
      <c r="E493" t="s">
        <v>23</v>
      </c>
      <c r="F493" t="s">
        <v>9</v>
      </c>
    </row>
    <row r="494" spans="1:6" x14ac:dyDescent="0.25">
      <c r="A494">
        <v>493</v>
      </c>
      <c r="B494" t="s">
        <v>167</v>
      </c>
      <c r="C494" t="s">
        <v>375</v>
      </c>
      <c r="D494">
        <v>48300</v>
      </c>
      <c r="E494" t="s">
        <v>23</v>
      </c>
      <c r="F494" t="s">
        <v>20</v>
      </c>
    </row>
    <row r="495" spans="1:6" x14ac:dyDescent="0.25">
      <c r="A495">
        <v>494</v>
      </c>
      <c r="B495" t="s">
        <v>66</v>
      </c>
      <c r="C495" t="s">
        <v>376</v>
      </c>
      <c r="D495">
        <v>19100</v>
      </c>
      <c r="E495" t="s">
        <v>38</v>
      </c>
      <c r="F495" t="s">
        <v>20</v>
      </c>
    </row>
    <row r="496" spans="1:6" x14ac:dyDescent="0.25">
      <c r="A496">
        <v>495</v>
      </c>
      <c r="B496" t="s">
        <v>153</v>
      </c>
      <c r="C496" t="s">
        <v>377</v>
      </c>
      <c r="D496">
        <v>55500</v>
      </c>
      <c r="E496" t="s">
        <v>23</v>
      </c>
      <c r="F496" t="s">
        <v>9</v>
      </c>
    </row>
    <row r="497" spans="1:6" x14ac:dyDescent="0.25">
      <c r="A497">
        <v>496</v>
      </c>
      <c r="B497" t="s">
        <v>231</v>
      </c>
      <c r="C497" t="s">
        <v>378</v>
      </c>
      <c r="D497">
        <v>9700</v>
      </c>
      <c r="E497" t="s">
        <v>38</v>
      </c>
      <c r="F497" t="s">
        <v>20</v>
      </c>
    </row>
    <row r="498" spans="1:6" x14ac:dyDescent="0.25">
      <c r="A498">
        <v>497</v>
      </c>
      <c r="B498" t="s">
        <v>21</v>
      </c>
      <c r="C498" t="s">
        <v>379</v>
      </c>
      <c r="D498">
        <v>47800</v>
      </c>
      <c r="E498" t="s">
        <v>23</v>
      </c>
      <c r="F498" t="s">
        <v>9</v>
      </c>
    </row>
    <row r="499" spans="1:6" x14ac:dyDescent="0.25">
      <c r="A499">
        <v>498</v>
      </c>
      <c r="B499" t="s">
        <v>117</v>
      </c>
      <c r="C499" t="s">
        <v>380</v>
      </c>
      <c r="D499">
        <v>21200</v>
      </c>
      <c r="E499" t="s">
        <v>8</v>
      </c>
      <c r="F499" t="s">
        <v>9</v>
      </c>
    </row>
    <row r="500" spans="1:6" x14ac:dyDescent="0.25">
      <c r="A500">
        <v>499</v>
      </c>
      <c r="B500" t="s">
        <v>404</v>
      </c>
      <c r="C500" t="s">
        <v>381</v>
      </c>
      <c r="D500">
        <v>32100</v>
      </c>
      <c r="E500" t="s">
        <v>8</v>
      </c>
      <c r="F500" t="s">
        <v>9</v>
      </c>
    </row>
    <row r="501" spans="1:6" x14ac:dyDescent="0.25">
      <c r="A501">
        <v>500</v>
      </c>
      <c r="B501" t="s">
        <v>403</v>
      </c>
      <c r="C501" t="s">
        <v>382</v>
      </c>
      <c r="D501">
        <v>40600</v>
      </c>
      <c r="E501" t="s">
        <v>38</v>
      </c>
      <c r="F501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402</v>
      </c>
      <c r="C2" t="s">
        <v>405</v>
      </c>
      <c r="D2">
        <v>35300</v>
      </c>
      <c r="E2" t="s">
        <v>8</v>
      </c>
      <c r="F2" t="s">
        <v>20</v>
      </c>
    </row>
    <row r="3" spans="1:6" x14ac:dyDescent="0.25">
      <c r="A3">
        <v>2</v>
      </c>
      <c r="B3" t="s">
        <v>238</v>
      </c>
      <c r="C3" t="s">
        <v>406</v>
      </c>
      <c r="D3">
        <v>32800</v>
      </c>
      <c r="E3" t="s">
        <v>38</v>
      </c>
      <c r="F3" t="s">
        <v>20</v>
      </c>
    </row>
    <row r="4" spans="1:6" x14ac:dyDescent="0.25">
      <c r="A4">
        <v>3</v>
      </c>
      <c r="B4" t="s">
        <v>322</v>
      </c>
      <c r="C4" t="s">
        <v>407</v>
      </c>
      <c r="D4">
        <v>44200</v>
      </c>
      <c r="E4" t="s">
        <v>8</v>
      </c>
      <c r="F4" t="s">
        <v>9</v>
      </c>
    </row>
    <row r="5" spans="1:6" x14ac:dyDescent="0.25">
      <c r="A5">
        <v>4</v>
      </c>
      <c r="B5" t="s">
        <v>154</v>
      </c>
      <c r="C5" t="s">
        <v>408</v>
      </c>
      <c r="D5">
        <v>36600</v>
      </c>
      <c r="E5" t="s">
        <v>23</v>
      </c>
      <c r="F5" t="s">
        <v>9</v>
      </c>
    </row>
    <row r="6" spans="1:6" x14ac:dyDescent="0.25">
      <c r="A6">
        <v>5</v>
      </c>
      <c r="B6" t="s">
        <v>285</v>
      </c>
      <c r="C6" t="s">
        <v>409</v>
      </c>
      <c r="D6">
        <v>107800</v>
      </c>
      <c r="E6" t="s">
        <v>38</v>
      </c>
      <c r="F6" t="s">
        <v>20</v>
      </c>
    </row>
    <row r="7" spans="1:6" x14ac:dyDescent="0.25">
      <c r="A7">
        <v>6</v>
      </c>
      <c r="B7" t="s">
        <v>130</v>
      </c>
      <c r="C7" t="s">
        <v>410</v>
      </c>
      <c r="D7">
        <v>133300</v>
      </c>
      <c r="E7" t="s">
        <v>23</v>
      </c>
      <c r="F7" t="s">
        <v>20</v>
      </c>
    </row>
    <row r="8" spans="1:6" x14ac:dyDescent="0.25">
      <c r="A8">
        <v>7</v>
      </c>
      <c r="B8" t="s">
        <v>105</v>
      </c>
      <c r="C8" t="s">
        <v>411</v>
      </c>
      <c r="D8">
        <v>35000</v>
      </c>
      <c r="E8" t="s">
        <v>38</v>
      </c>
      <c r="F8" t="s">
        <v>20</v>
      </c>
    </row>
    <row r="9" spans="1:6" x14ac:dyDescent="0.25">
      <c r="A9">
        <v>8</v>
      </c>
      <c r="B9" t="s">
        <v>358</v>
      </c>
      <c r="C9" t="s">
        <v>412</v>
      </c>
      <c r="D9">
        <v>26800</v>
      </c>
      <c r="E9" t="s">
        <v>38</v>
      </c>
      <c r="F9" t="s">
        <v>20</v>
      </c>
    </row>
    <row r="10" spans="1:6" x14ac:dyDescent="0.25">
      <c r="A10">
        <v>9</v>
      </c>
      <c r="B10" t="s">
        <v>371</v>
      </c>
      <c r="C10" t="s">
        <v>413</v>
      </c>
      <c r="D10">
        <v>53600</v>
      </c>
      <c r="E10" t="s">
        <v>8</v>
      </c>
      <c r="F10" t="s">
        <v>20</v>
      </c>
    </row>
    <row r="11" spans="1:6" x14ac:dyDescent="0.25">
      <c r="A11">
        <v>10</v>
      </c>
      <c r="B11" t="s">
        <v>16</v>
      </c>
      <c r="C11" t="s">
        <v>414</v>
      </c>
      <c r="D11">
        <v>12700</v>
      </c>
      <c r="E11" t="s">
        <v>38</v>
      </c>
      <c r="F11" t="s">
        <v>20</v>
      </c>
    </row>
    <row r="12" spans="1:6" x14ac:dyDescent="0.25">
      <c r="A12">
        <v>11</v>
      </c>
      <c r="B12" t="s">
        <v>332</v>
      </c>
      <c r="C12" t="s">
        <v>415</v>
      </c>
      <c r="D12">
        <v>45100</v>
      </c>
      <c r="E12" t="s">
        <v>8</v>
      </c>
      <c r="F12" t="s">
        <v>9</v>
      </c>
    </row>
    <row r="13" spans="1:6" x14ac:dyDescent="0.25">
      <c r="A13">
        <v>12</v>
      </c>
      <c r="B13" t="s">
        <v>167</v>
      </c>
      <c r="C13" t="s">
        <v>416</v>
      </c>
      <c r="D13">
        <v>13400</v>
      </c>
      <c r="E13" t="s">
        <v>8</v>
      </c>
      <c r="F13" t="s">
        <v>9</v>
      </c>
    </row>
    <row r="14" spans="1:6" x14ac:dyDescent="0.25">
      <c r="A14">
        <v>13</v>
      </c>
      <c r="B14" t="s">
        <v>76</v>
      </c>
      <c r="C14" t="s">
        <v>405</v>
      </c>
      <c r="D14">
        <v>56400</v>
      </c>
      <c r="E14" t="s">
        <v>23</v>
      </c>
      <c r="F14" t="s">
        <v>9</v>
      </c>
    </row>
    <row r="15" spans="1:6" x14ac:dyDescent="0.25">
      <c r="A15">
        <v>14</v>
      </c>
      <c r="B15" t="s">
        <v>102</v>
      </c>
      <c r="C15" t="s">
        <v>406</v>
      </c>
      <c r="D15">
        <v>25000</v>
      </c>
      <c r="E15" t="s">
        <v>38</v>
      </c>
      <c r="F15" t="s">
        <v>20</v>
      </c>
    </row>
    <row r="16" spans="1:6" x14ac:dyDescent="0.25">
      <c r="A16">
        <v>15</v>
      </c>
      <c r="B16" t="s">
        <v>404</v>
      </c>
      <c r="C16" t="s">
        <v>407</v>
      </c>
      <c r="D16">
        <v>56000</v>
      </c>
      <c r="E16" t="s">
        <v>23</v>
      </c>
      <c r="F16" t="s">
        <v>9</v>
      </c>
    </row>
    <row r="17" spans="1:6" x14ac:dyDescent="0.25">
      <c r="A17">
        <v>16</v>
      </c>
      <c r="B17" t="s">
        <v>343</v>
      </c>
      <c r="C17" t="s">
        <v>408</v>
      </c>
      <c r="D17">
        <v>22200</v>
      </c>
      <c r="E17" t="s">
        <v>8</v>
      </c>
      <c r="F17" t="s">
        <v>9</v>
      </c>
    </row>
    <row r="18" spans="1:6" x14ac:dyDescent="0.25">
      <c r="A18">
        <v>17</v>
      </c>
      <c r="B18" t="s">
        <v>197</v>
      </c>
      <c r="C18" t="s">
        <v>409</v>
      </c>
      <c r="D18">
        <v>32300</v>
      </c>
      <c r="E18" t="s">
        <v>23</v>
      </c>
      <c r="F18" t="s">
        <v>20</v>
      </c>
    </row>
    <row r="19" spans="1:6" x14ac:dyDescent="0.25">
      <c r="A19">
        <v>18</v>
      </c>
      <c r="B19" t="s">
        <v>87</v>
      </c>
      <c r="C19" t="s">
        <v>410</v>
      </c>
      <c r="D19">
        <v>122900</v>
      </c>
      <c r="E19" t="s">
        <v>23</v>
      </c>
      <c r="F19" t="s">
        <v>20</v>
      </c>
    </row>
    <row r="20" spans="1:6" x14ac:dyDescent="0.25">
      <c r="A20">
        <v>19</v>
      </c>
      <c r="B20" t="s">
        <v>87</v>
      </c>
      <c r="C20" t="s">
        <v>411</v>
      </c>
      <c r="D20">
        <v>48600</v>
      </c>
      <c r="E20" t="s">
        <v>8</v>
      </c>
      <c r="F20" t="s">
        <v>20</v>
      </c>
    </row>
    <row r="21" spans="1:6" x14ac:dyDescent="0.25">
      <c r="A21">
        <v>20</v>
      </c>
      <c r="B21" t="s">
        <v>98</v>
      </c>
      <c r="C21" t="s">
        <v>412</v>
      </c>
      <c r="D21">
        <v>32400</v>
      </c>
      <c r="E21" t="s">
        <v>8</v>
      </c>
      <c r="F21" t="s">
        <v>9</v>
      </c>
    </row>
    <row r="22" spans="1:6" x14ac:dyDescent="0.25">
      <c r="A22">
        <v>21</v>
      </c>
      <c r="B22" t="s">
        <v>50</v>
      </c>
      <c r="C22" t="s">
        <v>413</v>
      </c>
      <c r="D22">
        <v>33300</v>
      </c>
      <c r="E22" t="s">
        <v>38</v>
      </c>
      <c r="F22" t="s">
        <v>9</v>
      </c>
    </row>
    <row r="23" spans="1:6" x14ac:dyDescent="0.25">
      <c r="A23">
        <v>22</v>
      </c>
      <c r="B23" t="s">
        <v>265</v>
      </c>
      <c r="C23" t="s">
        <v>414</v>
      </c>
      <c r="D23">
        <v>37100</v>
      </c>
      <c r="E23" t="s">
        <v>8</v>
      </c>
      <c r="F23" t="s">
        <v>9</v>
      </c>
    </row>
    <row r="24" spans="1:6" x14ac:dyDescent="0.25">
      <c r="A24">
        <v>23</v>
      </c>
      <c r="B24" t="s">
        <v>351</v>
      </c>
      <c r="C24" t="s">
        <v>415</v>
      </c>
      <c r="D24">
        <v>5000</v>
      </c>
      <c r="E24" t="s">
        <v>23</v>
      </c>
      <c r="F24" t="s">
        <v>9</v>
      </c>
    </row>
    <row r="25" spans="1:6" x14ac:dyDescent="0.25">
      <c r="A25">
        <v>24</v>
      </c>
      <c r="B25" t="s">
        <v>264</v>
      </c>
      <c r="C25" t="s">
        <v>416</v>
      </c>
      <c r="D25">
        <v>51300</v>
      </c>
      <c r="E25" t="s">
        <v>38</v>
      </c>
      <c r="F25" t="s">
        <v>9</v>
      </c>
    </row>
    <row r="26" spans="1:6" x14ac:dyDescent="0.25">
      <c r="A26">
        <v>25</v>
      </c>
      <c r="B26" t="s">
        <v>278</v>
      </c>
      <c r="C26" t="s">
        <v>405</v>
      </c>
      <c r="D26">
        <v>53300</v>
      </c>
      <c r="E26" t="s">
        <v>23</v>
      </c>
      <c r="F26" t="s">
        <v>9</v>
      </c>
    </row>
    <row r="27" spans="1:6" x14ac:dyDescent="0.25">
      <c r="A27">
        <v>26</v>
      </c>
      <c r="B27" t="s">
        <v>335</v>
      </c>
      <c r="C27" t="s">
        <v>406</v>
      </c>
      <c r="D27">
        <v>89000</v>
      </c>
      <c r="E27" t="s">
        <v>38</v>
      </c>
      <c r="F27" t="s">
        <v>20</v>
      </c>
    </row>
    <row r="28" spans="1:6" x14ac:dyDescent="0.25">
      <c r="A28">
        <v>27</v>
      </c>
      <c r="B28" t="s">
        <v>404</v>
      </c>
      <c r="C28" t="s">
        <v>407</v>
      </c>
      <c r="D28">
        <v>95700</v>
      </c>
      <c r="E28" t="s">
        <v>38</v>
      </c>
      <c r="F28" t="s">
        <v>20</v>
      </c>
    </row>
    <row r="29" spans="1:6" x14ac:dyDescent="0.25">
      <c r="A29">
        <v>28</v>
      </c>
      <c r="B29" t="s">
        <v>388</v>
      </c>
      <c r="C29" t="s">
        <v>408</v>
      </c>
      <c r="D29">
        <v>5900</v>
      </c>
      <c r="E29" t="s">
        <v>8</v>
      </c>
      <c r="F29" t="s">
        <v>9</v>
      </c>
    </row>
    <row r="30" spans="1:6" x14ac:dyDescent="0.25">
      <c r="A30">
        <v>29</v>
      </c>
      <c r="B30" t="s">
        <v>307</v>
      </c>
      <c r="C30" t="s">
        <v>409</v>
      </c>
      <c r="D30">
        <v>81500</v>
      </c>
      <c r="E30" t="s">
        <v>38</v>
      </c>
      <c r="F30" t="s">
        <v>9</v>
      </c>
    </row>
    <row r="31" spans="1:6" x14ac:dyDescent="0.25">
      <c r="A31">
        <v>30</v>
      </c>
      <c r="B31" t="s">
        <v>191</v>
      </c>
      <c r="C31" t="s">
        <v>410</v>
      </c>
      <c r="D31">
        <v>47700</v>
      </c>
      <c r="E31" t="s">
        <v>38</v>
      </c>
      <c r="F31" t="s">
        <v>20</v>
      </c>
    </row>
    <row r="32" spans="1:6" x14ac:dyDescent="0.25">
      <c r="A32">
        <v>31</v>
      </c>
      <c r="B32" t="s">
        <v>282</v>
      </c>
      <c r="C32" t="s">
        <v>411</v>
      </c>
      <c r="D32">
        <v>22400</v>
      </c>
      <c r="E32" t="s">
        <v>23</v>
      </c>
      <c r="F32" t="s">
        <v>9</v>
      </c>
    </row>
    <row r="33" spans="1:6" x14ac:dyDescent="0.25">
      <c r="A33">
        <v>32</v>
      </c>
      <c r="B33" t="s">
        <v>175</v>
      </c>
      <c r="C33" t="s">
        <v>412</v>
      </c>
      <c r="D33">
        <v>59600</v>
      </c>
      <c r="E33" t="s">
        <v>23</v>
      </c>
      <c r="F33" t="s">
        <v>20</v>
      </c>
    </row>
    <row r="34" spans="1:6" x14ac:dyDescent="0.25">
      <c r="A34">
        <v>33</v>
      </c>
      <c r="B34" t="s">
        <v>334</v>
      </c>
      <c r="C34" t="s">
        <v>413</v>
      </c>
      <c r="D34">
        <v>117900</v>
      </c>
      <c r="E34" t="s">
        <v>8</v>
      </c>
      <c r="F34" t="s">
        <v>9</v>
      </c>
    </row>
    <row r="35" spans="1:6" x14ac:dyDescent="0.25">
      <c r="A35">
        <v>34</v>
      </c>
      <c r="B35" t="s">
        <v>56</v>
      </c>
      <c r="C35" t="s">
        <v>414</v>
      </c>
      <c r="D35">
        <v>69100</v>
      </c>
      <c r="E35" t="s">
        <v>8</v>
      </c>
      <c r="F35" t="s">
        <v>9</v>
      </c>
    </row>
    <row r="36" spans="1:6" x14ac:dyDescent="0.25">
      <c r="A36">
        <v>35</v>
      </c>
      <c r="B36" t="s">
        <v>205</v>
      </c>
      <c r="C36" t="s">
        <v>415</v>
      </c>
      <c r="D36">
        <v>55900</v>
      </c>
      <c r="E36" t="s">
        <v>23</v>
      </c>
      <c r="F36" t="s">
        <v>20</v>
      </c>
    </row>
    <row r="37" spans="1:6" x14ac:dyDescent="0.25">
      <c r="A37">
        <v>36</v>
      </c>
      <c r="B37" t="s">
        <v>186</v>
      </c>
      <c r="C37" t="s">
        <v>416</v>
      </c>
      <c r="D37">
        <v>62000</v>
      </c>
      <c r="E37" t="s">
        <v>23</v>
      </c>
      <c r="F37" t="s">
        <v>9</v>
      </c>
    </row>
    <row r="38" spans="1:6" x14ac:dyDescent="0.25">
      <c r="A38">
        <v>37</v>
      </c>
      <c r="B38" t="s">
        <v>52</v>
      </c>
      <c r="C38" t="s">
        <v>405</v>
      </c>
      <c r="D38">
        <v>23100</v>
      </c>
      <c r="E38" t="s">
        <v>8</v>
      </c>
      <c r="F38" t="s">
        <v>9</v>
      </c>
    </row>
    <row r="39" spans="1:6" x14ac:dyDescent="0.25">
      <c r="A39">
        <v>38</v>
      </c>
      <c r="B39" t="s">
        <v>132</v>
      </c>
      <c r="C39" t="s">
        <v>406</v>
      </c>
      <c r="D39">
        <v>90500</v>
      </c>
      <c r="E39" t="s">
        <v>38</v>
      </c>
      <c r="F39" t="s">
        <v>9</v>
      </c>
    </row>
    <row r="40" spans="1:6" x14ac:dyDescent="0.25">
      <c r="A40">
        <v>39</v>
      </c>
      <c r="B40" t="s">
        <v>50</v>
      </c>
      <c r="C40" t="s">
        <v>407</v>
      </c>
      <c r="D40">
        <v>84400</v>
      </c>
      <c r="E40" t="s">
        <v>23</v>
      </c>
      <c r="F40" t="s">
        <v>9</v>
      </c>
    </row>
    <row r="41" spans="1:6" x14ac:dyDescent="0.25">
      <c r="A41">
        <v>40</v>
      </c>
      <c r="B41" t="s">
        <v>417</v>
      </c>
      <c r="C41" t="s">
        <v>408</v>
      </c>
      <c r="D41">
        <v>17600</v>
      </c>
      <c r="E41" t="s">
        <v>38</v>
      </c>
      <c r="F41" t="s">
        <v>20</v>
      </c>
    </row>
    <row r="42" spans="1:6" x14ac:dyDescent="0.25">
      <c r="A42">
        <v>41</v>
      </c>
      <c r="B42" t="s">
        <v>204</v>
      </c>
      <c r="C42" t="s">
        <v>409</v>
      </c>
      <c r="D42">
        <v>16600</v>
      </c>
      <c r="E42" t="s">
        <v>8</v>
      </c>
      <c r="F42" t="s">
        <v>20</v>
      </c>
    </row>
    <row r="43" spans="1:6" x14ac:dyDescent="0.25">
      <c r="A43">
        <v>42</v>
      </c>
      <c r="B43" t="s">
        <v>269</v>
      </c>
      <c r="C43" t="s">
        <v>410</v>
      </c>
      <c r="D43">
        <v>31200</v>
      </c>
      <c r="E43" t="s">
        <v>23</v>
      </c>
      <c r="F43" t="s">
        <v>9</v>
      </c>
    </row>
    <row r="44" spans="1:6" x14ac:dyDescent="0.25">
      <c r="A44">
        <v>43</v>
      </c>
      <c r="B44" t="s">
        <v>211</v>
      </c>
      <c r="C44" t="s">
        <v>411</v>
      </c>
      <c r="D44">
        <v>7300</v>
      </c>
      <c r="E44" t="s">
        <v>8</v>
      </c>
      <c r="F44" t="s">
        <v>9</v>
      </c>
    </row>
    <row r="45" spans="1:6" x14ac:dyDescent="0.25">
      <c r="A45">
        <v>44</v>
      </c>
      <c r="B45" t="s">
        <v>418</v>
      </c>
      <c r="C45" t="s">
        <v>412</v>
      </c>
      <c r="D45">
        <v>165700</v>
      </c>
      <c r="E45" t="s">
        <v>8</v>
      </c>
      <c r="F45" t="s">
        <v>9</v>
      </c>
    </row>
    <row r="46" spans="1:6" x14ac:dyDescent="0.25">
      <c r="A46">
        <v>45</v>
      </c>
      <c r="B46" t="s">
        <v>188</v>
      </c>
      <c r="C46" t="s">
        <v>413</v>
      </c>
      <c r="D46">
        <v>28300</v>
      </c>
      <c r="E46" t="s">
        <v>8</v>
      </c>
      <c r="F46" t="s">
        <v>9</v>
      </c>
    </row>
    <row r="47" spans="1:6" x14ac:dyDescent="0.25">
      <c r="A47">
        <v>46</v>
      </c>
      <c r="B47" t="s">
        <v>43</v>
      </c>
      <c r="C47" t="s">
        <v>414</v>
      </c>
      <c r="D47">
        <v>13000</v>
      </c>
      <c r="E47" t="s">
        <v>8</v>
      </c>
      <c r="F47" t="s">
        <v>9</v>
      </c>
    </row>
    <row r="48" spans="1:6" x14ac:dyDescent="0.25">
      <c r="A48">
        <v>47</v>
      </c>
      <c r="B48" t="s">
        <v>265</v>
      </c>
      <c r="C48" t="s">
        <v>415</v>
      </c>
      <c r="D48">
        <v>18800</v>
      </c>
      <c r="E48" t="s">
        <v>38</v>
      </c>
      <c r="F48" t="s">
        <v>20</v>
      </c>
    </row>
    <row r="49" spans="1:6" x14ac:dyDescent="0.25">
      <c r="A49">
        <v>48</v>
      </c>
      <c r="B49" t="s">
        <v>248</v>
      </c>
      <c r="C49" t="s">
        <v>416</v>
      </c>
      <c r="D49">
        <v>18000</v>
      </c>
      <c r="E49" t="s">
        <v>23</v>
      </c>
      <c r="F49" t="s">
        <v>9</v>
      </c>
    </row>
    <row r="50" spans="1:6" x14ac:dyDescent="0.25">
      <c r="A50">
        <v>49</v>
      </c>
      <c r="B50" t="s">
        <v>133</v>
      </c>
      <c r="C50" t="s">
        <v>405</v>
      </c>
      <c r="D50">
        <v>40400</v>
      </c>
      <c r="E50" t="s">
        <v>8</v>
      </c>
      <c r="F50" t="s">
        <v>9</v>
      </c>
    </row>
    <row r="51" spans="1:6" x14ac:dyDescent="0.25">
      <c r="A51">
        <v>50</v>
      </c>
      <c r="B51" t="s">
        <v>316</v>
      </c>
      <c r="C51" t="s">
        <v>406</v>
      </c>
      <c r="D51">
        <v>25400</v>
      </c>
      <c r="E51" t="s">
        <v>38</v>
      </c>
      <c r="F51" t="s">
        <v>20</v>
      </c>
    </row>
    <row r="52" spans="1:6" x14ac:dyDescent="0.25">
      <c r="A52">
        <v>51</v>
      </c>
      <c r="B52" t="s">
        <v>153</v>
      </c>
      <c r="C52" t="s">
        <v>407</v>
      </c>
      <c r="D52">
        <v>18500</v>
      </c>
      <c r="E52" t="s">
        <v>38</v>
      </c>
      <c r="F52" t="s">
        <v>20</v>
      </c>
    </row>
    <row r="53" spans="1:6" x14ac:dyDescent="0.25">
      <c r="A53">
        <v>52</v>
      </c>
      <c r="B53" t="s">
        <v>182</v>
      </c>
      <c r="C53" t="s">
        <v>408</v>
      </c>
      <c r="D53">
        <v>135300</v>
      </c>
      <c r="E53" t="s">
        <v>8</v>
      </c>
      <c r="F53" t="s">
        <v>9</v>
      </c>
    </row>
    <row r="54" spans="1:6" x14ac:dyDescent="0.25">
      <c r="A54">
        <v>53</v>
      </c>
      <c r="B54" t="s">
        <v>253</v>
      </c>
      <c r="C54" t="s">
        <v>409</v>
      </c>
      <c r="D54">
        <v>8700</v>
      </c>
      <c r="E54" t="s">
        <v>23</v>
      </c>
      <c r="F54" t="s">
        <v>9</v>
      </c>
    </row>
    <row r="55" spans="1:6" x14ac:dyDescent="0.25">
      <c r="A55">
        <v>54</v>
      </c>
      <c r="B55" t="s">
        <v>134</v>
      </c>
      <c r="C55" t="s">
        <v>410</v>
      </c>
      <c r="D55">
        <v>107100</v>
      </c>
      <c r="E55" t="s">
        <v>38</v>
      </c>
      <c r="F55" t="s">
        <v>20</v>
      </c>
    </row>
    <row r="56" spans="1:6" x14ac:dyDescent="0.25">
      <c r="A56">
        <v>55</v>
      </c>
      <c r="B56" t="s">
        <v>40</v>
      </c>
      <c r="C56" t="s">
        <v>411</v>
      </c>
      <c r="D56">
        <v>203600</v>
      </c>
      <c r="E56" t="s">
        <v>8</v>
      </c>
      <c r="F56" t="s">
        <v>9</v>
      </c>
    </row>
    <row r="57" spans="1:6" x14ac:dyDescent="0.25">
      <c r="A57">
        <v>56</v>
      </c>
      <c r="B57" t="s">
        <v>397</v>
      </c>
      <c r="C57" t="s">
        <v>412</v>
      </c>
      <c r="D57">
        <v>192500</v>
      </c>
      <c r="E57" t="s">
        <v>38</v>
      </c>
      <c r="F57" t="s">
        <v>20</v>
      </c>
    </row>
    <row r="58" spans="1:6" x14ac:dyDescent="0.25">
      <c r="A58">
        <v>57</v>
      </c>
      <c r="B58" t="s">
        <v>39</v>
      </c>
      <c r="C58" t="s">
        <v>413</v>
      </c>
      <c r="D58">
        <v>6800</v>
      </c>
      <c r="E58" t="s">
        <v>38</v>
      </c>
      <c r="F58" t="s">
        <v>20</v>
      </c>
    </row>
    <row r="59" spans="1:6" x14ac:dyDescent="0.25">
      <c r="A59">
        <v>58</v>
      </c>
      <c r="B59" t="s">
        <v>133</v>
      </c>
      <c r="C59" t="s">
        <v>414</v>
      </c>
      <c r="D59">
        <v>10300</v>
      </c>
      <c r="E59" t="s">
        <v>8</v>
      </c>
      <c r="F59" t="s">
        <v>9</v>
      </c>
    </row>
    <row r="60" spans="1:6" x14ac:dyDescent="0.25">
      <c r="A60">
        <v>59</v>
      </c>
      <c r="B60" t="s">
        <v>182</v>
      </c>
      <c r="C60" t="s">
        <v>415</v>
      </c>
      <c r="D60">
        <v>32800</v>
      </c>
      <c r="E60" t="s">
        <v>38</v>
      </c>
      <c r="F60" t="s">
        <v>20</v>
      </c>
    </row>
    <row r="61" spans="1:6" x14ac:dyDescent="0.25">
      <c r="A61">
        <v>60</v>
      </c>
      <c r="B61" t="s">
        <v>153</v>
      </c>
      <c r="C61" t="s">
        <v>416</v>
      </c>
      <c r="D61">
        <v>64600</v>
      </c>
      <c r="E61" t="s">
        <v>38</v>
      </c>
      <c r="F61" t="s">
        <v>20</v>
      </c>
    </row>
    <row r="62" spans="1:6" x14ac:dyDescent="0.25">
      <c r="A62">
        <v>61</v>
      </c>
      <c r="B62" t="s">
        <v>302</v>
      </c>
      <c r="C62" t="s">
        <v>405</v>
      </c>
      <c r="D62">
        <v>13000</v>
      </c>
      <c r="E62" t="s">
        <v>23</v>
      </c>
      <c r="F62" t="s">
        <v>9</v>
      </c>
    </row>
    <row r="63" spans="1:6" x14ac:dyDescent="0.25">
      <c r="A63">
        <v>62</v>
      </c>
      <c r="B63" t="s">
        <v>288</v>
      </c>
      <c r="C63" t="s">
        <v>406</v>
      </c>
      <c r="D63">
        <v>84000</v>
      </c>
      <c r="E63" t="s">
        <v>8</v>
      </c>
      <c r="F63" t="s">
        <v>9</v>
      </c>
    </row>
    <row r="64" spans="1:6" x14ac:dyDescent="0.25">
      <c r="A64">
        <v>63</v>
      </c>
      <c r="B64" t="s">
        <v>283</v>
      </c>
      <c r="C64" t="s">
        <v>407</v>
      </c>
      <c r="D64">
        <v>26000</v>
      </c>
      <c r="E64" t="s">
        <v>38</v>
      </c>
      <c r="F64" t="s">
        <v>20</v>
      </c>
    </row>
    <row r="65" spans="1:6" x14ac:dyDescent="0.25">
      <c r="A65">
        <v>64</v>
      </c>
      <c r="B65" t="s">
        <v>206</v>
      </c>
      <c r="C65" t="s">
        <v>408</v>
      </c>
      <c r="D65">
        <v>84700</v>
      </c>
      <c r="E65" t="s">
        <v>8</v>
      </c>
      <c r="F65" t="s">
        <v>9</v>
      </c>
    </row>
    <row r="66" spans="1:6" x14ac:dyDescent="0.25">
      <c r="A66">
        <v>65</v>
      </c>
      <c r="B66" t="s">
        <v>212</v>
      </c>
      <c r="C66" t="s">
        <v>409</v>
      </c>
      <c r="D66">
        <v>32300</v>
      </c>
      <c r="E66" t="s">
        <v>8</v>
      </c>
      <c r="F66" t="s">
        <v>20</v>
      </c>
    </row>
    <row r="67" spans="1:6" x14ac:dyDescent="0.25">
      <c r="A67">
        <v>66</v>
      </c>
      <c r="B67" t="s">
        <v>90</v>
      </c>
      <c r="C67" t="s">
        <v>410</v>
      </c>
      <c r="D67">
        <v>238200</v>
      </c>
      <c r="E67" t="s">
        <v>23</v>
      </c>
      <c r="F67" t="s">
        <v>9</v>
      </c>
    </row>
    <row r="68" spans="1:6" x14ac:dyDescent="0.25">
      <c r="A68">
        <v>67</v>
      </c>
      <c r="B68" t="s">
        <v>124</v>
      </c>
      <c r="C68" t="s">
        <v>411</v>
      </c>
      <c r="D68">
        <v>24800</v>
      </c>
      <c r="E68" t="s">
        <v>23</v>
      </c>
      <c r="F68" t="s">
        <v>9</v>
      </c>
    </row>
    <row r="69" spans="1:6" x14ac:dyDescent="0.25">
      <c r="A69">
        <v>68</v>
      </c>
      <c r="B69" t="s">
        <v>80</v>
      </c>
      <c r="C69" t="s">
        <v>412</v>
      </c>
      <c r="D69">
        <v>35100</v>
      </c>
      <c r="E69" t="s">
        <v>23</v>
      </c>
      <c r="F69" t="s">
        <v>20</v>
      </c>
    </row>
    <row r="70" spans="1:6" x14ac:dyDescent="0.25">
      <c r="A70">
        <v>69</v>
      </c>
      <c r="B70" t="s">
        <v>53</v>
      </c>
      <c r="C70" t="s">
        <v>413</v>
      </c>
      <c r="D70">
        <v>21900</v>
      </c>
      <c r="E70" t="s">
        <v>8</v>
      </c>
      <c r="F70" t="s">
        <v>20</v>
      </c>
    </row>
    <row r="71" spans="1:6" x14ac:dyDescent="0.25">
      <c r="A71">
        <v>70</v>
      </c>
      <c r="B71" t="s">
        <v>230</v>
      </c>
      <c r="C71" t="s">
        <v>414</v>
      </c>
      <c r="D71">
        <v>51400</v>
      </c>
      <c r="E71" t="s">
        <v>8</v>
      </c>
      <c r="F71" t="s">
        <v>9</v>
      </c>
    </row>
    <row r="72" spans="1:6" x14ac:dyDescent="0.25">
      <c r="A72">
        <v>71</v>
      </c>
      <c r="B72" t="s">
        <v>204</v>
      </c>
      <c r="C72" t="s">
        <v>415</v>
      </c>
      <c r="D72">
        <v>114200</v>
      </c>
      <c r="E72" t="s">
        <v>23</v>
      </c>
      <c r="F72" t="s">
        <v>9</v>
      </c>
    </row>
    <row r="73" spans="1:6" x14ac:dyDescent="0.25">
      <c r="A73">
        <v>72</v>
      </c>
      <c r="B73" t="s">
        <v>165</v>
      </c>
      <c r="C73" t="s">
        <v>416</v>
      </c>
      <c r="D73">
        <v>29700</v>
      </c>
      <c r="E73" t="s">
        <v>38</v>
      </c>
      <c r="F73" t="s">
        <v>20</v>
      </c>
    </row>
    <row r="74" spans="1:6" x14ac:dyDescent="0.25">
      <c r="A74">
        <v>73</v>
      </c>
      <c r="B74" t="s">
        <v>98</v>
      </c>
      <c r="C74" t="s">
        <v>405</v>
      </c>
      <c r="D74">
        <v>23600</v>
      </c>
      <c r="E74" t="s">
        <v>38</v>
      </c>
      <c r="F74" t="s">
        <v>20</v>
      </c>
    </row>
    <row r="75" spans="1:6" x14ac:dyDescent="0.25">
      <c r="A75">
        <v>74</v>
      </c>
      <c r="B75" t="s">
        <v>189</v>
      </c>
      <c r="C75" t="s">
        <v>406</v>
      </c>
      <c r="D75">
        <v>63700</v>
      </c>
      <c r="E75" t="s">
        <v>38</v>
      </c>
      <c r="F75" t="s">
        <v>20</v>
      </c>
    </row>
    <row r="76" spans="1:6" x14ac:dyDescent="0.25">
      <c r="A76">
        <v>75</v>
      </c>
      <c r="B76" t="s">
        <v>278</v>
      </c>
      <c r="C76" t="s">
        <v>407</v>
      </c>
      <c r="D76">
        <v>56100</v>
      </c>
      <c r="E76" t="s">
        <v>8</v>
      </c>
      <c r="F76" t="s">
        <v>9</v>
      </c>
    </row>
    <row r="77" spans="1:6" x14ac:dyDescent="0.25">
      <c r="A77">
        <v>76</v>
      </c>
      <c r="B77" t="s">
        <v>221</v>
      </c>
      <c r="C77" t="s">
        <v>408</v>
      </c>
      <c r="D77">
        <v>18800</v>
      </c>
      <c r="E77" t="s">
        <v>38</v>
      </c>
      <c r="F77" t="s">
        <v>20</v>
      </c>
    </row>
    <row r="78" spans="1:6" x14ac:dyDescent="0.25">
      <c r="A78">
        <v>77</v>
      </c>
      <c r="B78" t="s">
        <v>196</v>
      </c>
      <c r="C78" t="s">
        <v>409</v>
      </c>
      <c r="D78">
        <v>10100</v>
      </c>
      <c r="E78" t="s">
        <v>38</v>
      </c>
      <c r="F78" t="s">
        <v>20</v>
      </c>
    </row>
    <row r="79" spans="1:6" x14ac:dyDescent="0.25">
      <c r="A79">
        <v>78</v>
      </c>
      <c r="B79" t="s">
        <v>256</v>
      </c>
      <c r="C79" t="s">
        <v>410</v>
      </c>
      <c r="D79">
        <v>39500</v>
      </c>
      <c r="E79" t="s">
        <v>23</v>
      </c>
      <c r="F79" t="s">
        <v>9</v>
      </c>
    </row>
    <row r="80" spans="1:6" x14ac:dyDescent="0.25">
      <c r="A80">
        <v>79</v>
      </c>
      <c r="B80" t="s">
        <v>164</v>
      </c>
      <c r="C80" t="s">
        <v>411</v>
      </c>
      <c r="D80">
        <v>12400</v>
      </c>
      <c r="E80" t="s">
        <v>8</v>
      </c>
      <c r="F80" t="s">
        <v>20</v>
      </c>
    </row>
    <row r="81" spans="1:6" x14ac:dyDescent="0.25">
      <c r="A81">
        <v>80</v>
      </c>
      <c r="B81" t="s">
        <v>232</v>
      </c>
      <c r="C81" t="s">
        <v>412</v>
      </c>
      <c r="D81">
        <v>18500</v>
      </c>
      <c r="E81" t="s">
        <v>23</v>
      </c>
      <c r="F81" t="s">
        <v>9</v>
      </c>
    </row>
    <row r="82" spans="1:6" x14ac:dyDescent="0.25">
      <c r="A82">
        <v>81</v>
      </c>
      <c r="B82" t="s">
        <v>63</v>
      </c>
      <c r="C82" t="s">
        <v>413</v>
      </c>
      <c r="D82">
        <v>22400</v>
      </c>
      <c r="E82" t="s">
        <v>23</v>
      </c>
      <c r="F82" t="s">
        <v>20</v>
      </c>
    </row>
    <row r="83" spans="1:6" x14ac:dyDescent="0.25">
      <c r="A83">
        <v>82</v>
      </c>
      <c r="B83" t="s">
        <v>277</v>
      </c>
      <c r="C83" t="s">
        <v>414</v>
      </c>
      <c r="D83">
        <v>71600</v>
      </c>
      <c r="E83" t="s">
        <v>8</v>
      </c>
      <c r="F83" t="s">
        <v>20</v>
      </c>
    </row>
    <row r="84" spans="1:6" x14ac:dyDescent="0.25">
      <c r="A84">
        <v>83</v>
      </c>
      <c r="B84" t="s">
        <v>209</v>
      </c>
      <c r="C84" t="s">
        <v>409</v>
      </c>
      <c r="D84">
        <v>410000</v>
      </c>
      <c r="E84" t="s">
        <v>23</v>
      </c>
      <c r="F84" t="s">
        <v>9</v>
      </c>
    </row>
    <row r="85" spans="1:6" x14ac:dyDescent="0.25">
      <c r="A85">
        <v>84</v>
      </c>
      <c r="B85" t="s">
        <v>157</v>
      </c>
      <c r="C85" t="s">
        <v>416</v>
      </c>
      <c r="D85">
        <v>32500</v>
      </c>
      <c r="E85" t="s">
        <v>38</v>
      </c>
      <c r="F85" t="s">
        <v>20</v>
      </c>
    </row>
    <row r="86" spans="1:6" x14ac:dyDescent="0.25">
      <c r="A86">
        <v>85</v>
      </c>
      <c r="B86" t="s">
        <v>59</v>
      </c>
      <c r="C86" t="s">
        <v>405</v>
      </c>
      <c r="D86">
        <v>17400</v>
      </c>
      <c r="E86" t="s">
        <v>38</v>
      </c>
      <c r="F86" t="s">
        <v>20</v>
      </c>
    </row>
    <row r="87" spans="1:6" x14ac:dyDescent="0.25">
      <c r="A87">
        <v>86</v>
      </c>
      <c r="B87" t="s">
        <v>173</v>
      </c>
      <c r="C87" t="s">
        <v>406</v>
      </c>
      <c r="D87">
        <v>21000</v>
      </c>
      <c r="E87" t="s">
        <v>23</v>
      </c>
      <c r="F87" t="s">
        <v>9</v>
      </c>
    </row>
    <row r="88" spans="1:6" x14ac:dyDescent="0.25">
      <c r="A88">
        <v>87</v>
      </c>
      <c r="B88" t="s">
        <v>285</v>
      </c>
      <c r="C88" t="s">
        <v>407</v>
      </c>
      <c r="D88">
        <v>159700</v>
      </c>
      <c r="E88" t="s">
        <v>8</v>
      </c>
      <c r="F88" t="s">
        <v>9</v>
      </c>
    </row>
    <row r="89" spans="1:6" x14ac:dyDescent="0.25">
      <c r="A89">
        <v>88</v>
      </c>
      <c r="B89" t="s">
        <v>110</v>
      </c>
      <c r="C89" t="s">
        <v>408</v>
      </c>
      <c r="D89">
        <v>33000</v>
      </c>
      <c r="E89" t="s">
        <v>23</v>
      </c>
      <c r="F89" t="s">
        <v>9</v>
      </c>
    </row>
    <row r="90" spans="1:6" x14ac:dyDescent="0.25">
      <c r="A90">
        <v>89</v>
      </c>
      <c r="B90" t="s">
        <v>337</v>
      </c>
      <c r="C90" t="s">
        <v>409</v>
      </c>
      <c r="D90">
        <v>10700</v>
      </c>
      <c r="E90" t="s">
        <v>23</v>
      </c>
      <c r="F90" t="s">
        <v>9</v>
      </c>
    </row>
    <row r="91" spans="1:6" x14ac:dyDescent="0.25">
      <c r="A91">
        <v>90</v>
      </c>
      <c r="B91" t="s">
        <v>173</v>
      </c>
      <c r="C91" t="s">
        <v>410</v>
      </c>
      <c r="D91">
        <v>34000</v>
      </c>
      <c r="E91" t="s">
        <v>8</v>
      </c>
      <c r="F91" t="s">
        <v>20</v>
      </c>
    </row>
    <row r="92" spans="1:6" x14ac:dyDescent="0.25">
      <c r="A92">
        <v>91</v>
      </c>
      <c r="B92" t="s">
        <v>130</v>
      </c>
      <c r="C92" t="s">
        <v>411</v>
      </c>
      <c r="D92">
        <v>15400</v>
      </c>
      <c r="E92" t="s">
        <v>23</v>
      </c>
      <c r="F92" t="s">
        <v>9</v>
      </c>
    </row>
    <row r="93" spans="1:6" x14ac:dyDescent="0.25">
      <c r="A93">
        <v>92</v>
      </c>
      <c r="B93" t="s">
        <v>389</v>
      </c>
      <c r="C93" t="s">
        <v>412</v>
      </c>
      <c r="D93">
        <v>27700</v>
      </c>
      <c r="E93" t="s">
        <v>23</v>
      </c>
      <c r="F93" t="s">
        <v>9</v>
      </c>
    </row>
    <row r="94" spans="1:6" x14ac:dyDescent="0.25">
      <c r="A94">
        <v>93</v>
      </c>
      <c r="B94" t="s">
        <v>312</v>
      </c>
      <c r="C94" t="s">
        <v>413</v>
      </c>
      <c r="D94">
        <v>24400</v>
      </c>
      <c r="E94" t="s">
        <v>8</v>
      </c>
      <c r="F94" t="s">
        <v>9</v>
      </c>
    </row>
    <row r="95" spans="1:6" x14ac:dyDescent="0.25">
      <c r="A95">
        <v>94</v>
      </c>
      <c r="B95" t="s">
        <v>125</v>
      </c>
      <c r="C95" t="s">
        <v>414</v>
      </c>
      <c r="D95">
        <v>31900</v>
      </c>
      <c r="E95" t="s">
        <v>23</v>
      </c>
      <c r="F95" t="s">
        <v>20</v>
      </c>
    </row>
    <row r="96" spans="1:6" x14ac:dyDescent="0.25">
      <c r="A96">
        <v>95</v>
      </c>
      <c r="B96" t="s">
        <v>196</v>
      </c>
      <c r="C96" t="s">
        <v>415</v>
      </c>
      <c r="D96">
        <v>209400</v>
      </c>
      <c r="E96" t="s">
        <v>8</v>
      </c>
      <c r="F96" t="s">
        <v>9</v>
      </c>
    </row>
    <row r="97" spans="1:6" x14ac:dyDescent="0.25">
      <c r="A97">
        <v>96</v>
      </c>
      <c r="B97" t="s">
        <v>135</v>
      </c>
      <c r="C97" t="s">
        <v>416</v>
      </c>
      <c r="D97">
        <v>106000</v>
      </c>
      <c r="E97" t="s">
        <v>8</v>
      </c>
      <c r="F97" t="s">
        <v>9</v>
      </c>
    </row>
    <row r="98" spans="1:6" x14ac:dyDescent="0.25">
      <c r="A98">
        <v>97</v>
      </c>
      <c r="B98" t="s">
        <v>265</v>
      </c>
      <c r="C98" t="s">
        <v>405</v>
      </c>
      <c r="D98">
        <v>33000</v>
      </c>
      <c r="E98" t="s">
        <v>23</v>
      </c>
      <c r="F98" t="s">
        <v>9</v>
      </c>
    </row>
    <row r="99" spans="1:6" x14ac:dyDescent="0.25">
      <c r="A99">
        <v>98</v>
      </c>
      <c r="B99" t="s">
        <v>401</v>
      </c>
      <c r="C99" t="s">
        <v>406</v>
      </c>
      <c r="D99">
        <v>63000</v>
      </c>
      <c r="E99" t="s">
        <v>23</v>
      </c>
      <c r="F99" t="s">
        <v>9</v>
      </c>
    </row>
    <row r="100" spans="1:6" x14ac:dyDescent="0.25">
      <c r="A100">
        <v>99</v>
      </c>
      <c r="B100" t="s">
        <v>398</v>
      </c>
      <c r="C100" t="s">
        <v>407</v>
      </c>
      <c r="D100">
        <v>17600</v>
      </c>
      <c r="E100" t="s">
        <v>23</v>
      </c>
      <c r="F100" t="s">
        <v>9</v>
      </c>
    </row>
    <row r="101" spans="1:6" x14ac:dyDescent="0.25">
      <c r="A101">
        <v>100</v>
      </c>
      <c r="B101" t="s">
        <v>320</v>
      </c>
      <c r="C101" t="s">
        <v>408</v>
      </c>
      <c r="D101">
        <v>6700</v>
      </c>
      <c r="E101" t="s">
        <v>38</v>
      </c>
      <c r="F101" t="s">
        <v>20</v>
      </c>
    </row>
    <row r="102" spans="1:6" x14ac:dyDescent="0.25">
      <c r="A102">
        <v>101</v>
      </c>
      <c r="B102" t="s">
        <v>161</v>
      </c>
      <c r="C102" t="s">
        <v>409</v>
      </c>
      <c r="D102">
        <v>70000</v>
      </c>
      <c r="E102" t="s">
        <v>38</v>
      </c>
      <c r="F102" t="s">
        <v>9</v>
      </c>
    </row>
    <row r="103" spans="1:6" x14ac:dyDescent="0.25">
      <c r="A103">
        <v>102</v>
      </c>
      <c r="B103" t="s">
        <v>112</v>
      </c>
      <c r="C103" t="s">
        <v>410</v>
      </c>
      <c r="D103">
        <v>52400</v>
      </c>
      <c r="E103" t="s">
        <v>8</v>
      </c>
      <c r="F103" t="s">
        <v>9</v>
      </c>
    </row>
    <row r="104" spans="1:6" x14ac:dyDescent="0.25">
      <c r="A104">
        <v>103</v>
      </c>
      <c r="B104" t="s">
        <v>329</v>
      </c>
      <c r="C104" t="s">
        <v>411</v>
      </c>
      <c r="D104">
        <v>263800</v>
      </c>
      <c r="E104" t="s">
        <v>8</v>
      </c>
      <c r="F104" t="s">
        <v>9</v>
      </c>
    </row>
    <row r="105" spans="1:6" x14ac:dyDescent="0.25">
      <c r="A105">
        <v>104</v>
      </c>
      <c r="B105" t="s">
        <v>100</v>
      </c>
      <c r="C105" t="s">
        <v>412</v>
      </c>
      <c r="D105">
        <v>103100</v>
      </c>
      <c r="E105" t="s">
        <v>8</v>
      </c>
      <c r="F105" t="s">
        <v>20</v>
      </c>
    </row>
    <row r="106" spans="1:6" x14ac:dyDescent="0.25">
      <c r="A106">
        <v>105</v>
      </c>
      <c r="B106" t="s">
        <v>255</v>
      </c>
      <c r="C106" t="s">
        <v>413</v>
      </c>
      <c r="D106">
        <v>11900</v>
      </c>
      <c r="E106" t="s">
        <v>38</v>
      </c>
      <c r="F106" t="s">
        <v>20</v>
      </c>
    </row>
    <row r="107" spans="1:6" x14ac:dyDescent="0.25">
      <c r="A107">
        <v>106</v>
      </c>
      <c r="B107" t="s">
        <v>219</v>
      </c>
      <c r="C107" t="s">
        <v>414</v>
      </c>
      <c r="D107">
        <v>76900</v>
      </c>
      <c r="E107" t="s">
        <v>23</v>
      </c>
      <c r="F107" t="s">
        <v>20</v>
      </c>
    </row>
    <row r="108" spans="1:6" x14ac:dyDescent="0.25">
      <c r="A108">
        <v>107</v>
      </c>
      <c r="B108" t="s">
        <v>46</v>
      </c>
      <c r="C108" t="s">
        <v>415</v>
      </c>
      <c r="D108">
        <v>11200</v>
      </c>
      <c r="E108" t="s">
        <v>8</v>
      </c>
      <c r="F108" t="s">
        <v>20</v>
      </c>
    </row>
    <row r="109" spans="1:6" x14ac:dyDescent="0.25">
      <c r="A109">
        <v>108</v>
      </c>
      <c r="B109" t="s">
        <v>66</v>
      </c>
      <c r="C109" t="s">
        <v>416</v>
      </c>
      <c r="D109">
        <v>13500</v>
      </c>
      <c r="E109" t="s">
        <v>38</v>
      </c>
      <c r="F109" t="s">
        <v>20</v>
      </c>
    </row>
    <row r="110" spans="1:6" x14ac:dyDescent="0.25">
      <c r="A110">
        <v>109</v>
      </c>
      <c r="B110" t="s">
        <v>268</v>
      </c>
      <c r="C110" t="s">
        <v>405</v>
      </c>
      <c r="D110">
        <v>90900</v>
      </c>
      <c r="E110" t="s">
        <v>23</v>
      </c>
      <c r="F110" t="s">
        <v>20</v>
      </c>
    </row>
    <row r="111" spans="1:6" x14ac:dyDescent="0.25">
      <c r="A111">
        <v>110</v>
      </c>
      <c r="B111" t="s">
        <v>288</v>
      </c>
      <c r="C111" t="s">
        <v>406</v>
      </c>
      <c r="D111">
        <v>5000</v>
      </c>
      <c r="E111" t="s">
        <v>38</v>
      </c>
      <c r="F111" t="s">
        <v>9</v>
      </c>
    </row>
    <row r="112" spans="1:6" x14ac:dyDescent="0.25">
      <c r="A112">
        <v>111</v>
      </c>
      <c r="B112" t="s">
        <v>255</v>
      </c>
      <c r="C112" t="s">
        <v>407</v>
      </c>
      <c r="D112">
        <v>38800</v>
      </c>
      <c r="E112" t="s">
        <v>38</v>
      </c>
      <c r="F112" t="s">
        <v>20</v>
      </c>
    </row>
    <row r="113" spans="1:6" x14ac:dyDescent="0.25">
      <c r="A113">
        <v>112</v>
      </c>
      <c r="B113" t="s">
        <v>344</v>
      </c>
      <c r="C113" t="s">
        <v>408</v>
      </c>
      <c r="D113">
        <v>15600</v>
      </c>
      <c r="E113" t="s">
        <v>8</v>
      </c>
      <c r="F113" t="s">
        <v>9</v>
      </c>
    </row>
    <row r="114" spans="1:6" x14ac:dyDescent="0.25">
      <c r="A114">
        <v>113</v>
      </c>
      <c r="B114" t="s">
        <v>362</v>
      </c>
      <c r="C114" t="s">
        <v>409</v>
      </c>
      <c r="D114">
        <v>52800</v>
      </c>
      <c r="E114" t="s">
        <v>38</v>
      </c>
      <c r="F114" t="s">
        <v>20</v>
      </c>
    </row>
    <row r="115" spans="1:6" x14ac:dyDescent="0.25">
      <c r="A115">
        <v>114</v>
      </c>
      <c r="B115" t="s">
        <v>350</v>
      </c>
      <c r="C115" t="s">
        <v>410</v>
      </c>
      <c r="D115">
        <v>11700</v>
      </c>
      <c r="E115" t="s">
        <v>8</v>
      </c>
      <c r="F115" t="s">
        <v>9</v>
      </c>
    </row>
    <row r="116" spans="1:6" x14ac:dyDescent="0.25">
      <c r="A116">
        <v>115</v>
      </c>
      <c r="B116" t="s">
        <v>120</v>
      </c>
      <c r="C116" t="s">
        <v>411</v>
      </c>
      <c r="D116">
        <v>14000</v>
      </c>
      <c r="E116" t="s">
        <v>8</v>
      </c>
      <c r="F116" t="s">
        <v>9</v>
      </c>
    </row>
    <row r="117" spans="1:6" x14ac:dyDescent="0.25">
      <c r="A117">
        <v>116</v>
      </c>
      <c r="B117" t="s">
        <v>145</v>
      </c>
      <c r="C117" t="s">
        <v>412</v>
      </c>
      <c r="D117">
        <v>5000</v>
      </c>
      <c r="E117" t="s">
        <v>23</v>
      </c>
      <c r="F117" t="s">
        <v>9</v>
      </c>
    </row>
    <row r="118" spans="1:6" x14ac:dyDescent="0.25">
      <c r="A118">
        <v>117</v>
      </c>
      <c r="B118" t="s">
        <v>175</v>
      </c>
      <c r="C118" t="s">
        <v>413</v>
      </c>
      <c r="D118">
        <v>5000</v>
      </c>
      <c r="E118" t="s">
        <v>23</v>
      </c>
      <c r="F118" t="s">
        <v>9</v>
      </c>
    </row>
    <row r="119" spans="1:6" x14ac:dyDescent="0.25">
      <c r="A119">
        <v>118</v>
      </c>
      <c r="B119" t="s">
        <v>216</v>
      </c>
      <c r="C119" t="s">
        <v>414</v>
      </c>
      <c r="D119">
        <v>31000</v>
      </c>
      <c r="E119" t="s">
        <v>38</v>
      </c>
      <c r="F119" t="s">
        <v>9</v>
      </c>
    </row>
    <row r="120" spans="1:6" x14ac:dyDescent="0.25">
      <c r="A120">
        <v>119</v>
      </c>
      <c r="B120" t="s">
        <v>331</v>
      </c>
      <c r="C120" t="s">
        <v>415</v>
      </c>
      <c r="D120">
        <v>22400</v>
      </c>
      <c r="E120" t="s">
        <v>38</v>
      </c>
      <c r="F120" t="s">
        <v>9</v>
      </c>
    </row>
    <row r="121" spans="1:6" x14ac:dyDescent="0.25">
      <c r="A121">
        <v>120</v>
      </c>
      <c r="B121" t="s">
        <v>64</v>
      </c>
      <c r="C121" t="s">
        <v>416</v>
      </c>
      <c r="D121">
        <v>11400</v>
      </c>
      <c r="E121" t="s">
        <v>23</v>
      </c>
      <c r="F121" t="s">
        <v>20</v>
      </c>
    </row>
    <row r="122" spans="1:6" x14ac:dyDescent="0.25">
      <c r="A122">
        <v>121</v>
      </c>
      <c r="B122" t="s">
        <v>143</v>
      </c>
      <c r="C122" t="s">
        <v>405</v>
      </c>
      <c r="D122">
        <v>48400</v>
      </c>
      <c r="E122" t="s">
        <v>8</v>
      </c>
      <c r="F122" t="s">
        <v>9</v>
      </c>
    </row>
    <row r="123" spans="1:6" x14ac:dyDescent="0.25">
      <c r="A123">
        <v>122</v>
      </c>
      <c r="B123" t="s">
        <v>187</v>
      </c>
      <c r="C123" t="s">
        <v>406</v>
      </c>
      <c r="D123">
        <v>40000</v>
      </c>
      <c r="E123" t="s">
        <v>38</v>
      </c>
      <c r="F123" t="s">
        <v>20</v>
      </c>
    </row>
    <row r="124" spans="1:6" x14ac:dyDescent="0.25">
      <c r="A124">
        <v>123</v>
      </c>
      <c r="B124" t="s">
        <v>94</v>
      </c>
      <c r="C124" t="s">
        <v>407</v>
      </c>
      <c r="D124">
        <v>40600</v>
      </c>
      <c r="E124" t="s">
        <v>38</v>
      </c>
      <c r="F124" t="s">
        <v>20</v>
      </c>
    </row>
    <row r="125" spans="1:6" x14ac:dyDescent="0.25">
      <c r="A125">
        <v>124</v>
      </c>
      <c r="B125" t="s">
        <v>281</v>
      </c>
      <c r="C125" t="s">
        <v>408</v>
      </c>
      <c r="D125">
        <v>34700</v>
      </c>
      <c r="E125" t="s">
        <v>38</v>
      </c>
      <c r="F125" t="s">
        <v>9</v>
      </c>
    </row>
    <row r="126" spans="1:6" x14ac:dyDescent="0.25">
      <c r="A126">
        <v>125</v>
      </c>
      <c r="B126" t="s">
        <v>310</v>
      </c>
      <c r="C126" t="s">
        <v>409</v>
      </c>
      <c r="D126">
        <v>71900</v>
      </c>
      <c r="E126" t="s">
        <v>38</v>
      </c>
      <c r="F126" t="s">
        <v>20</v>
      </c>
    </row>
    <row r="127" spans="1:6" x14ac:dyDescent="0.25">
      <c r="A127">
        <v>126</v>
      </c>
      <c r="B127" t="s">
        <v>195</v>
      </c>
      <c r="C127" t="s">
        <v>410</v>
      </c>
      <c r="D127">
        <v>21500</v>
      </c>
      <c r="E127" t="s">
        <v>38</v>
      </c>
      <c r="F127" t="s">
        <v>20</v>
      </c>
    </row>
    <row r="128" spans="1:6" x14ac:dyDescent="0.25">
      <c r="A128">
        <v>127</v>
      </c>
      <c r="B128" t="s">
        <v>260</v>
      </c>
      <c r="C128" t="s">
        <v>411</v>
      </c>
      <c r="D128">
        <v>18500</v>
      </c>
      <c r="E128" t="s">
        <v>8</v>
      </c>
      <c r="F128" t="s">
        <v>9</v>
      </c>
    </row>
    <row r="129" spans="1:6" x14ac:dyDescent="0.25">
      <c r="A129">
        <v>128</v>
      </c>
      <c r="B129" t="s">
        <v>274</v>
      </c>
      <c r="C129" t="s">
        <v>412</v>
      </c>
      <c r="D129">
        <v>0</v>
      </c>
      <c r="E129" t="s">
        <v>8</v>
      </c>
      <c r="F129" t="s">
        <v>9</v>
      </c>
    </row>
    <row r="130" spans="1:6" x14ac:dyDescent="0.25">
      <c r="A130">
        <v>129</v>
      </c>
      <c r="B130" t="s">
        <v>282</v>
      </c>
      <c r="C130" t="s">
        <v>413</v>
      </c>
      <c r="D130">
        <v>10400</v>
      </c>
      <c r="E130" t="s">
        <v>38</v>
      </c>
      <c r="F130" t="s">
        <v>20</v>
      </c>
    </row>
    <row r="131" spans="1:6" x14ac:dyDescent="0.25">
      <c r="A131">
        <v>130</v>
      </c>
      <c r="B131" t="s">
        <v>169</v>
      </c>
      <c r="C131" t="s">
        <v>414</v>
      </c>
      <c r="D131">
        <v>48400</v>
      </c>
      <c r="E131" t="s">
        <v>8</v>
      </c>
      <c r="F131" t="s">
        <v>9</v>
      </c>
    </row>
    <row r="132" spans="1:6" x14ac:dyDescent="0.25">
      <c r="A132">
        <v>131</v>
      </c>
      <c r="B132" t="s">
        <v>389</v>
      </c>
      <c r="C132" t="s">
        <v>415</v>
      </c>
      <c r="D132">
        <v>7200</v>
      </c>
      <c r="E132" t="s">
        <v>38</v>
      </c>
      <c r="F132" t="s">
        <v>20</v>
      </c>
    </row>
    <row r="133" spans="1:6" x14ac:dyDescent="0.25">
      <c r="A133">
        <v>132</v>
      </c>
      <c r="B133" t="s">
        <v>148</v>
      </c>
      <c r="C133" t="s">
        <v>416</v>
      </c>
      <c r="D133">
        <v>254600</v>
      </c>
      <c r="E133" t="s">
        <v>38</v>
      </c>
      <c r="F133" t="s">
        <v>20</v>
      </c>
    </row>
    <row r="134" spans="1:6" x14ac:dyDescent="0.25">
      <c r="A134">
        <v>133</v>
      </c>
      <c r="B134" t="s">
        <v>401</v>
      </c>
      <c r="C134" t="s">
        <v>405</v>
      </c>
      <c r="D134">
        <v>146100</v>
      </c>
      <c r="E134" t="s">
        <v>38</v>
      </c>
      <c r="F134" t="s">
        <v>20</v>
      </c>
    </row>
    <row r="135" spans="1:6" x14ac:dyDescent="0.25">
      <c r="A135">
        <v>134</v>
      </c>
      <c r="B135" t="s">
        <v>168</v>
      </c>
      <c r="C135" t="s">
        <v>406</v>
      </c>
      <c r="D135">
        <v>252100</v>
      </c>
      <c r="E135" t="s">
        <v>23</v>
      </c>
      <c r="F135" t="s">
        <v>9</v>
      </c>
    </row>
    <row r="136" spans="1:6" x14ac:dyDescent="0.25">
      <c r="A136">
        <v>135</v>
      </c>
      <c r="B136" t="s">
        <v>98</v>
      </c>
      <c r="C136" t="s">
        <v>407</v>
      </c>
      <c r="D136">
        <v>67500</v>
      </c>
      <c r="E136" t="s">
        <v>23</v>
      </c>
      <c r="F136" t="s">
        <v>9</v>
      </c>
    </row>
    <row r="137" spans="1:6" x14ac:dyDescent="0.25">
      <c r="A137">
        <v>136</v>
      </c>
      <c r="B137" t="s">
        <v>369</v>
      </c>
      <c r="C137" t="s">
        <v>408</v>
      </c>
      <c r="D137">
        <v>17600</v>
      </c>
      <c r="E137" t="s">
        <v>8</v>
      </c>
      <c r="F137" t="s">
        <v>20</v>
      </c>
    </row>
    <row r="138" spans="1:6" x14ac:dyDescent="0.25">
      <c r="A138">
        <v>137</v>
      </c>
      <c r="B138" t="s">
        <v>275</v>
      </c>
      <c r="C138" t="s">
        <v>409</v>
      </c>
      <c r="D138">
        <v>9600</v>
      </c>
      <c r="E138" t="s">
        <v>23</v>
      </c>
      <c r="F138" t="s">
        <v>9</v>
      </c>
    </row>
    <row r="139" spans="1:6" x14ac:dyDescent="0.25">
      <c r="A139">
        <v>138</v>
      </c>
      <c r="B139" t="s">
        <v>278</v>
      </c>
      <c r="C139" t="s">
        <v>410</v>
      </c>
      <c r="D139">
        <v>7000</v>
      </c>
      <c r="E139" t="s">
        <v>8</v>
      </c>
      <c r="F139" t="s">
        <v>9</v>
      </c>
    </row>
    <row r="140" spans="1:6" x14ac:dyDescent="0.25">
      <c r="A140">
        <v>139</v>
      </c>
      <c r="B140" t="s">
        <v>317</v>
      </c>
      <c r="C140" t="s">
        <v>411</v>
      </c>
      <c r="D140">
        <v>86200</v>
      </c>
      <c r="E140" t="s">
        <v>8</v>
      </c>
      <c r="F140" t="s">
        <v>9</v>
      </c>
    </row>
    <row r="141" spans="1:6" x14ac:dyDescent="0.25">
      <c r="A141">
        <v>140</v>
      </c>
      <c r="B141" t="s">
        <v>110</v>
      </c>
      <c r="C141" t="s">
        <v>405</v>
      </c>
      <c r="D141">
        <v>450000</v>
      </c>
      <c r="E141" t="s">
        <v>8</v>
      </c>
      <c r="F141" t="s">
        <v>9</v>
      </c>
    </row>
    <row r="142" spans="1:6" x14ac:dyDescent="0.25">
      <c r="A142">
        <v>141</v>
      </c>
      <c r="B142" t="s">
        <v>197</v>
      </c>
      <c r="C142" t="s">
        <v>413</v>
      </c>
      <c r="D142">
        <v>59300</v>
      </c>
      <c r="E142" t="s">
        <v>23</v>
      </c>
      <c r="F142" t="s">
        <v>20</v>
      </c>
    </row>
    <row r="143" spans="1:6" x14ac:dyDescent="0.25">
      <c r="A143">
        <v>142</v>
      </c>
      <c r="B143" t="s">
        <v>155</v>
      </c>
      <c r="C143" t="s">
        <v>414</v>
      </c>
      <c r="D143">
        <v>18800</v>
      </c>
      <c r="E143" t="s">
        <v>8</v>
      </c>
      <c r="F143" t="s">
        <v>20</v>
      </c>
    </row>
    <row r="144" spans="1:6" x14ac:dyDescent="0.25">
      <c r="A144">
        <v>143</v>
      </c>
      <c r="B144" t="s">
        <v>46</v>
      </c>
      <c r="C144" t="s">
        <v>415</v>
      </c>
      <c r="D144">
        <v>58300</v>
      </c>
      <c r="E144" t="s">
        <v>8</v>
      </c>
      <c r="F144" t="s">
        <v>9</v>
      </c>
    </row>
    <row r="145" spans="1:6" x14ac:dyDescent="0.25">
      <c r="A145">
        <v>144</v>
      </c>
      <c r="B145" t="s">
        <v>48</v>
      </c>
      <c r="C145" t="s">
        <v>416</v>
      </c>
      <c r="D145">
        <v>14700</v>
      </c>
      <c r="E145" t="s">
        <v>8</v>
      </c>
      <c r="F145" t="s">
        <v>9</v>
      </c>
    </row>
    <row r="146" spans="1:6" x14ac:dyDescent="0.25">
      <c r="A146">
        <v>145</v>
      </c>
      <c r="B146" t="s">
        <v>240</v>
      </c>
      <c r="C146" t="s">
        <v>405</v>
      </c>
      <c r="D146">
        <v>9200</v>
      </c>
      <c r="E146" t="s">
        <v>38</v>
      </c>
      <c r="F146" t="s">
        <v>20</v>
      </c>
    </row>
    <row r="147" spans="1:6" x14ac:dyDescent="0.25">
      <c r="A147">
        <v>146</v>
      </c>
      <c r="B147" t="s">
        <v>211</v>
      </c>
      <c r="C147" t="s">
        <v>406</v>
      </c>
      <c r="D147">
        <v>5000</v>
      </c>
      <c r="E147" t="s">
        <v>23</v>
      </c>
      <c r="F147" t="s">
        <v>9</v>
      </c>
    </row>
    <row r="148" spans="1:6" x14ac:dyDescent="0.25">
      <c r="A148">
        <v>147</v>
      </c>
      <c r="B148" t="s">
        <v>249</v>
      </c>
      <c r="C148" t="s">
        <v>407</v>
      </c>
      <c r="D148">
        <v>16500</v>
      </c>
      <c r="E148" t="s">
        <v>8</v>
      </c>
      <c r="F148" t="s">
        <v>20</v>
      </c>
    </row>
    <row r="149" spans="1:6" x14ac:dyDescent="0.25">
      <c r="A149">
        <v>148</v>
      </c>
      <c r="B149" t="s">
        <v>219</v>
      </c>
      <c r="C149" t="s">
        <v>410</v>
      </c>
      <c r="D149">
        <v>0</v>
      </c>
      <c r="E149" t="s">
        <v>23</v>
      </c>
      <c r="F149" t="s">
        <v>9</v>
      </c>
    </row>
    <row r="150" spans="1:6" x14ac:dyDescent="0.25">
      <c r="A150">
        <v>149</v>
      </c>
      <c r="B150" t="s">
        <v>147</v>
      </c>
      <c r="C150" t="s">
        <v>409</v>
      </c>
      <c r="D150">
        <v>33900</v>
      </c>
      <c r="E150" t="s">
        <v>38</v>
      </c>
      <c r="F150" t="s">
        <v>9</v>
      </c>
    </row>
    <row r="151" spans="1:6" x14ac:dyDescent="0.25">
      <c r="A151">
        <v>150</v>
      </c>
      <c r="B151" t="s">
        <v>240</v>
      </c>
      <c r="C151" t="s">
        <v>410</v>
      </c>
      <c r="D151">
        <v>23600</v>
      </c>
      <c r="E151" t="s">
        <v>8</v>
      </c>
      <c r="F151" t="s">
        <v>9</v>
      </c>
    </row>
    <row r="152" spans="1:6" x14ac:dyDescent="0.25">
      <c r="A152">
        <v>151</v>
      </c>
      <c r="B152" t="s">
        <v>203</v>
      </c>
      <c r="C152" t="s">
        <v>411</v>
      </c>
      <c r="D152">
        <v>49700</v>
      </c>
      <c r="E152" t="s">
        <v>23</v>
      </c>
      <c r="F152" t="s">
        <v>9</v>
      </c>
    </row>
    <row r="153" spans="1:6" x14ac:dyDescent="0.25">
      <c r="A153">
        <v>152</v>
      </c>
      <c r="B153" t="s">
        <v>302</v>
      </c>
      <c r="C153" t="s">
        <v>412</v>
      </c>
      <c r="D153">
        <v>80100</v>
      </c>
      <c r="E153" t="s">
        <v>8</v>
      </c>
      <c r="F153" t="s">
        <v>20</v>
      </c>
    </row>
    <row r="154" spans="1:6" x14ac:dyDescent="0.25">
      <c r="A154">
        <v>153</v>
      </c>
      <c r="B154" t="s">
        <v>154</v>
      </c>
      <c r="C154" t="s">
        <v>413</v>
      </c>
      <c r="D154">
        <v>88700</v>
      </c>
      <c r="E154" t="s">
        <v>23</v>
      </c>
      <c r="F154" t="s">
        <v>9</v>
      </c>
    </row>
    <row r="155" spans="1:6" x14ac:dyDescent="0.25">
      <c r="A155">
        <v>154</v>
      </c>
      <c r="B155" t="s">
        <v>24</v>
      </c>
      <c r="C155" t="s">
        <v>414</v>
      </c>
      <c r="D155">
        <v>21900</v>
      </c>
      <c r="E155" t="s">
        <v>23</v>
      </c>
      <c r="F155" t="s">
        <v>9</v>
      </c>
    </row>
    <row r="156" spans="1:6" x14ac:dyDescent="0.25">
      <c r="A156">
        <v>155</v>
      </c>
      <c r="B156" t="s">
        <v>150</v>
      </c>
      <c r="C156" t="s">
        <v>415</v>
      </c>
      <c r="D156">
        <v>35000</v>
      </c>
      <c r="E156" t="s">
        <v>8</v>
      </c>
      <c r="F156" t="s">
        <v>9</v>
      </c>
    </row>
    <row r="157" spans="1:6" x14ac:dyDescent="0.25">
      <c r="A157">
        <v>156</v>
      </c>
      <c r="B157" t="s">
        <v>348</v>
      </c>
      <c r="C157" t="s">
        <v>416</v>
      </c>
      <c r="D157">
        <v>21000</v>
      </c>
      <c r="E157" t="s">
        <v>38</v>
      </c>
      <c r="F157" t="s">
        <v>20</v>
      </c>
    </row>
    <row r="158" spans="1:6" x14ac:dyDescent="0.25">
      <c r="A158">
        <v>157</v>
      </c>
      <c r="B158" t="s">
        <v>175</v>
      </c>
      <c r="C158" t="s">
        <v>405</v>
      </c>
      <c r="D158">
        <v>211000</v>
      </c>
      <c r="E158" t="s">
        <v>23</v>
      </c>
      <c r="F158" t="s">
        <v>20</v>
      </c>
    </row>
    <row r="159" spans="1:6" x14ac:dyDescent="0.25">
      <c r="A159">
        <v>158</v>
      </c>
      <c r="B159" t="s">
        <v>12</v>
      </c>
      <c r="C159" t="s">
        <v>406</v>
      </c>
      <c r="D159">
        <v>66300</v>
      </c>
      <c r="E159" t="s">
        <v>8</v>
      </c>
      <c r="F159" t="s">
        <v>9</v>
      </c>
    </row>
    <row r="160" spans="1:6" x14ac:dyDescent="0.25">
      <c r="A160">
        <v>159</v>
      </c>
      <c r="B160" t="s">
        <v>281</v>
      </c>
      <c r="C160" t="s">
        <v>407</v>
      </c>
      <c r="D160">
        <v>16500</v>
      </c>
      <c r="E160" t="s">
        <v>8</v>
      </c>
      <c r="F160" t="s">
        <v>20</v>
      </c>
    </row>
    <row r="161" spans="1:6" x14ac:dyDescent="0.25">
      <c r="A161">
        <v>160</v>
      </c>
      <c r="B161" t="s">
        <v>191</v>
      </c>
      <c r="C161" t="s">
        <v>408</v>
      </c>
      <c r="D161">
        <v>304400</v>
      </c>
      <c r="E161" t="s">
        <v>8</v>
      </c>
      <c r="F161" t="s">
        <v>9</v>
      </c>
    </row>
    <row r="162" spans="1:6" x14ac:dyDescent="0.25">
      <c r="A162">
        <v>161</v>
      </c>
      <c r="B162" t="s">
        <v>330</v>
      </c>
      <c r="C162" t="s">
        <v>409</v>
      </c>
      <c r="D162">
        <v>16900</v>
      </c>
      <c r="E162" t="s">
        <v>38</v>
      </c>
      <c r="F162" t="s">
        <v>9</v>
      </c>
    </row>
    <row r="163" spans="1:6" x14ac:dyDescent="0.25">
      <c r="A163">
        <v>162</v>
      </c>
      <c r="B163" t="s">
        <v>133</v>
      </c>
      <c r="C163" t="s">
        <v>410</v>
      </c>
      <c r="D163">
        <v>29500</v>
      </c>
      <c r="E163" t="s">
        <v>38</v>
      </c>
      <c r="F163" t="s">
        <v>20</v>
      </c>
    </row>
    <row r="164" spans="1:6" x14ac:dyDescent="0.25">
      <c r="A164">
        <v>163</v>
      </c>
      <c r="B164" t="s">
        <v>242</v>
      </c>
      <c r="C164" t="s">
        <v>411</v>
      </c>
      <c r="D164">
        <v>18900</v>
      </c>
      <c r="E164" t="s">
        <v>38</v>
      </c>
      <c r="F164" t="s">
        <v>20</v>
      </c>
    </row>
    <row r="165" spans="1:6" x14ac:dyDescent="0.25">
      <c r="A165">
        <v>164</v>
      </c>
      <c r="B165" t="s">
        <v>173</v>
      </c>
      <c r="C165" t="s">
        <v>412</v>
      </c>
      <c r="D165">
        <v>28400</v>
      </c>
      <c r="E165" t="s">
        <v>8</v>
      </c>
      <c r="F165" t="s">
        <v>20</v>
      </c>
    </row>
    <row r="166" spans="1:6" x14ac:dyDescent="0.25">
      <c r="A166">
        <v>165</v>
      </c>
      <c r="B166" t="s">
        <v>103</v>
      </c>
      <c r="C166" t="s">
        <v>413</v>
      </c>
      <c r="D166">
        <v>139300</v>
      </c>
      <c r="E166" t="s">
        <v>23</v>
      </c>
      <c r="F166" t="s">
        <v>9</v>
      </c>
    </row>
    <row r="167" spans="1:6" x14ac:dyDescent="0.25">
      <c r="A167">
        <v>166</v>
      </c>
      <c r="B167" t="s">
        <v>348</v>
      </c>
      <c r="C167" t="s">
        <v>414</v>
      </c>
      <c r="D167">
        <v>12900</v>
      </c>
      <c r="E167" t="s">
        <v>38</v>
      </c>
      <c r="F167" t="s">
        <v>20</v>
      </c>
    </row>
    <row r="168" spans="1:6" x14ac:dyDescent="0.25">
      <c r="A168">
        <v>167</v>
      </c>
      <c r="B168" t="s">
        <v>12</v>
      </c>
      <c r="C168" t="s">
        <v>415</v>
      </c>
      <c r="D168">
        <v>31900</v>
      </c>
      <c r="E168" t="s">
        <v>23</v>
      </c>
      <c r="F168" t="s">
        <v>9</v>
      </c>
    </row>
    <row r="169" spans="1:6" x14ac:dyDescent="0.25">
      <c r="A169">
        <v>168</v>
      </c>
      <c r="B169" t="s">
        <v>203</v>
      </c>
      <c r="C169" t="s">
        <v>416</v>
      </c>
      <c r="D169">
        <v>32300</v>
      </c>
      <c r="E169" t="s">
        <v>8</v>
      </c>
      <c r="F169" t="s">
        <v>9</v>
      </c>
    </row>
    <row r="170" spans="1:6" x14ac:dyDescent="0.25">
      <c r="A170">
        <v>169</v>
      </c>
      <c r="B170" t="s">
        <v>36</v>
      </c>
      <c r="C170" t="s">
        <v>405</v>
      </c>
      <c r="D170">
        <v>19300</v>
      </c>
      <c r="E170" t="s">
        <v>23</v>
      </c>
      <c r="F170" t="s">
        <v>9</v>
      </c>
    </row>
    <row r="171" spans="1:6" x14ac:dyDescent="0.25">
      <c r="A171">
        <v>170</v>
      </c>
      <c r="B171" t="s">
        <v>6</v>
      </c>
      <c r="C171" t="s">
        <v>406</v>
      </c>
      <c r="D171">
        <v>38200</v>
      </c>
      <c r="E171" t="s">
        <v>23</v>
      </c>
      <c r="F171" t="s">
        <v>9</v>
      </c>
    </row>
    <row r="172" spans="1:6" x14ac:dyDescent="0.25">
      <c r="A172">
        <v>171</v>
      </c>
      <c r="B172" t="s">
        <v>212</v>
      </c>
      <c r="C172" t="s">
        <v>407</v>
      </c>
      <c r="D172">
        <v>13700</v>
      </c>
      <c r="E172" t="s">
        <v>38</v>
      </c>
      <c r="F172" t="s">
        <v>20</v>
      </c>
    </row>
    <row r="173" spans="1:6" x14ac:dyDescent="0.25">
      <c r="A173">
        <v>172</v>
      </c>
      <c r="B173" t="s">
        <v>209</v>
      </c>
      <c r="C173" t="s">
        <v>408</v>
      </c>
      <c r="D173">
        <v>17700</v>
      </c>
      <c r="E173" t="s">
        <v>23</v>
      </c>
      <c r="F173" t="s">
        <v>9</v>
      </c>
    </row>
    <row r="174" spans="1:6" x14ac:dyDescent="0.25">
      <c r="A174">
        <v>173</v>
      </c>
      <c r="B174" t="s">
        <v>26</v>
      </c>
      <c r="C174" t="s">
        <v>409</v>
      </c>
      <c r="D174">
        <v>73300</v>
      </c>
      <c r="E174" t="s">
        <v>38</v>
      </c>
      <c r="F174" t="s">
        <v>20</v>
      </c>
    </row>
    <row r="175" spans="1:6" x14ac:dyDescent="0.25">
      <c r="A175">
        <v>174</v>
      </c>
      <c r="B175" t="s">
        <v>206</v>
      </c>
      <c r="C175" t="s">
        <v>410</v>
      </c>
      <c r="D175">
        <v>31100</v>
      </c>
      <c r="E175" t="s">
        <v>8</v>
      </c>
      <c r="F175" t="s">
        <v>9</v>
      </c>
    </row>
    <row r="176" spans="1:6" x14ac:dyDescent="0.25">
      <c r="A176">
        <v>175</v>
      </c>
      <c r="B176" t="s">
        <v>371</v>
      </c>
      <c r="C176" t="s">
        <v>411</v>
      </c>
      <c r="D176">
        <v>5000</v>
      </c>
      <c r="E176" t="s">
        <v>8</v>
      </c>
      <c r="F176" t="s">
        <v>9</v>
      </c>
    </row>
    <row r="177" spans="1:6" x14ac:dyDescent="0.25">
      <c r="A177">
        <v>176</v>
      </c>
      <c r="B177" t="s">
        <v>62</v>
      </c>
      <c r="C177" t="s">
        <v>412</v>
      </c>
      <c r="D177">
        <v>273900</v>
      </c>
      <c r="E177" t="s">
        <v>8</v>
      </c>
      <c r="F177" t="s">
        <v>9</v>
      </c>
    </row>
    <row r="178" spans="1:6" x14ac:dyDescent="0.25">
      <c r="A178">
        <v>177</v>
      </c>
      <c r="B178" t="s">
        <v>330</v>
      </c>
      <c r="C178" t="s">
        <v>413</v>
      </c>
      <c r="D178">
        <v>30900</v>
      </c>
      <c r="E178" t="s">
        <v>38</v>
      </c>
      <c r="F178" t="s">
        <v>20</v>
      </c>
    </row>
    <row r="179" spans="1:6" x14ac:dyDescent="0.25">
      <c r="A179">
        <v>178</v>
      </c>
      <c r="B179" t="s">
        <v>32</v>
      </c>
      <c r="C179" t="s">
        <v>414</v>
      </c>
      <c r="D179">
        <v>18600</v>
      </c>
      <c r="E179" t="s">
        <v>38</v>
      </c>
      <c r="F179" t="s">
        <v>20</v>
      </c>
    </row>
    <row r="180" spans="1:6" x14ac:dyDescent="0.25">
      <c r="A180">
        <v>179</v>
      </c>
      <c r="B180" t="s">
        <v>195</v>
      </c>
      <c r="C180" t="s">
        <v>415</v>
      </c>
      <c r="D180">
        <v>12100</v>
      </c>
      <c r="E180" t="s">
        <v>38</v>
      </c>
      <c r="F180" t="s">
        <v>20</v>
      </c>
    </row>
    <row r="181" spans="1:6" x14ac:dyDescent="0.25">
      <c r="A181">
        <v>180</v>
      </c>
      <c r="B181" t="s">
        <v>251</v>
      </c>
      <c r="C181" t="s">
        <v>416</v>
      </c>
      <c r="D181">
        <v>16400</v>
      </c>
      <c r="E181" t="s">
        <v>38</v>
      </c>
      <c r="F181" t="s">
        <v>20</v>
      </c>
    </row>
    <row r="182" spans="1:6" x14ac:dyDescent="0.25">
      <c r="A182">
        <v>181</v>
      </c>
      <c r="B182" t="s">
        <v>218</v>
      </c>
      <c r="C182" t="s">
        <v>405</v>
      </c>
      <c r="D182">
        <v>144100</v>
      </c>
      <c r="E182" t="s">
        <v>8</v>
      </c>
      <c r="F182" t="s">
        <v>9</v>
      </c>
    </row>
    <row r="183" spans="1:6" x14ac:dyDescent="0.25">
      <c r="A183">
        <v>182</v>
      </c>
      <c r="B183" t="s">
        <v>419</v>
      </c>
      <c r="C183" t="s">
        <v>406</v>
      </c>
      <c r="D183">
        <v>25100</v>
      </c>
      <c r="E183" t="s">
        <v>38</v>
      </c>
      <c r="F183" t="s">
        <v>20</v>
      </c>
    </row>
    <row r="184" spans="1:6" x14ac:dyDescent="0.25">
      <c r="A184">
        <v>183</v>
      </c>
      <c r="B184" t="s">
        <v>32</v>
      </c>
      <c r="C184" t="s">
        <v>407</v>
      </c>
      <c r="D184">
        <v>28500</v>
      </c>
      <c r="E184" t="s">
        <v>38</v>
      </c>
      <c r="F184" t="s">
        <v>20</v>
      </c>
    </row>
    <row r="185" spans="1:6" x14ac:dyDescent="0.25">
      <c r="A185">
        <v>184</v>
      </c>
      <c r="B185" t="s">
        <v>105</v>
      </c>
      <c r="C185" t="s">
        <v>408</v>
      </c>
      <c r="D185">
        <v>32800</v>
      </c>
      <c r="E185" t="s">
        <v>38</v>
      </c>
      <c r="F185" t="s">
        <v>9</v>
      </c>
    </row>
    <row r="186" spans="1:6" x14ac:dyDescent="0.25">
      <c r="A186">
        <v>185</v>
      </c>
      <c r="B186" t="s">
        <v>99</v>
      </c>
      <c r="C186" t="s">
        <v>409</v>
      </c>
      <c r="D186">
        <v>5000</v>
      </c>
      <c r="E186" t="s">
        <v>8</v>
      </c>
      <c r="F186" t="s">
        <v>9</v>
      </c>
    </row>
    <row r="187" spans="1:6" x14ac:dyDescent="0.25">
      <c r="A187">
        <v>186</v>
      </c>
      <c r="B187" t="s">
        <v>188</v>
      </c>
      <c r="C187" t="s">
        <v>410</v>
      </c>
      <c r="D187">
        <v>82500</v>
      </c>
      <c r="E187" t="s">
        <v>38</v>
      </c>
      <c r="F187" t="s">
        <v>20</v>
      </c>
    </row>
    <row r="188" spans="1:6" x14ac:dyDescent="0.25">
      <c r="A188">
        <v>187</v>
      </c>
      <c r="B188" t="s">
        <v>35</v>
      </c>
      <c r="C188" t="s">
        <v>411</v>
      </c>
      <c r="D188">
        <v>60000</v>
      </c>
      <c r="E188" t="s">
        <v>8</v>
      </c>
      <c r="F188" t="s">
        <v>20</v>
      </c>
    </row>
    <row r="189" spans="1:6" x14ac:dyDescent="0.25">
      <c r="A189">
        <v>188</v>
      </c>
      <c r="B189" t="s">
        <v>390</v>
      </c>
      <c r="C189" t="s">
        <v>412</v>
      </c>
      <c r="D189">
        <v>46400</v>
      </c>
      <c r="E189" t="s">
        <v>23</v>
      </c>
      <c r="F189" t="s">
        <v>9</v>
      </c>
    </row>
    <row r="190" spans="1:6" x14ac:dyDescent="0.25">
      <c r="A190">
        <v>189</v>
      </c>
      <c r="B190" t="s">
        <v>281</v>
      </c>
      <c r="C190" t="s">
        <v>413</v>
      </c>
      <c r="D190">
        <v>34800</v>
      </c>
      <c r="E190" t="s">
        <v>23</v>
      </c>
      <c r="F190" t="s">
        <v>20</v>
      </c>
    </row>
    <row r="191" spans="1:6" x14ac:dyDescent="0.25">
      <c r="A191">
        <v>190</v>
      </c>
      <c r="B191" t="s">
        <v>58</v>
      </c>
      <c r="C191" t="s">
        <v>414</v>
      </c>
      <c r="D191">
        <v>5000</v>
      </c>
      <c r="E191" t="s">
        <v>8</v>
      </c>
      <c r="F191" t="s">
        <v>9</v>
      </c>
    </row>
    <row r="192" spans="1:6" x14ac:dyDescent="0.25">
      <c r="A192">
        <v>191</v>
      </c>
      <c r="B192" t="s">
        <v>54</v>
      </c>
      <c r="C192" t="s">
        <v>415</v>
      </c>
      <c r="D192">
        <v>53700</v>
      </c>
      <c r="E192" t="s">
        <v>8</v>
      </c>
      <c r="F192" t="s">
        <v>9</v>
      </c>
    </row>
    <row r="193" spans="1:6" x14ac:dyDescent="0.25">
      <c r="A193">
        <v>192</v>
      </c>
      <c r="B193" t="s">
        <v>243</v>
      </c>
      <c r="C193" t="s">
        <v>416</v>
      </c>
      <c r="D193">
        <v>22000</v>
      </c>
      <c r="E193" t="s">
        <v>38</v>
      </c>
      <c r="F193" t="s">
        <v>20</v>
      </c>
    </row>
    <row r="194" spans="1:6" x14ac:dyDescent="0.25">
      <c r="A194">
        <v>193</v>
      </c>
      <c r="B194" t="s">
        <v>63</v>
      </c>
      <c r="C194" t="s">
        <v>405</v>
      </c>
      <c r="D194">
        <v>97500</v>
      </c>
      <c r="E194" t="s">
        <v>23</v>
      </c>
      <c r="F194" t="s">
        <v>9</v>
      </c>
    </row>
    <row r="195" spans="1:6" x14ac:dyDescent="0.25">
      <c r="A195">
        <v>194</v>
      </c>
      <c r="B195" t="s">
        <v>24</v>
      </c>
      <c r="C195" t="s">
        <v>406</v>
      </c>
      <c r="D195">
        <v>11900</v>
      </c>
      <c r="E195" t="s">
        <v>8</v>
      </c>
      <c r="F195" t="s">
        <v>9</v>
      </c>
    </row>
    <row r="196" spans="1:6" x14ac:dyDescent="0.25">
      <c r="A196">
        <v>195</v>
      </c>
      <c r="B196" t="s">
        <v>66</v>
      </c>
      <c r="C196" t="s">
        <v>407</v>
      </c>
      <c r="D196">
        <v>9000</v>
      </c>
      <c r="E196" t="s">
        <v>38</v>
      </c>
      <c r="F196" t="s">
        <v>9</v>
      </c>
    </row>
    <row r="197" spans="1:6" x14ac:dyDescent="0.25">
      <c r="A197">
        <v>196</v>
      </c>
      <c r="B197" t="s">
        <v>113</v>
      </c>
      <c r="C197" t="s">
        <v>408</v>
      </c>
      <c r="D197">
        <v>70700</v>
      </c>
      <c r="E197" t="s">
        <v>8</v>
      </c>
      <c r="F197" t="s">
        <v>20</v>
      </c>
    </row>
    <row r="198" spans="1:6" x14ac:dyDescent="0.25">
      <c r="A198">
        <v>197</v>
      </c>
      <c r="B198" t="s">
        <v>74</v>
      </c>
      <c r="C198" t="s">
        <v>409</v>
      </c>
      <c r="D198">
        <v>64300</v>
      </c>
      <c r="E198" t="s">
        <v>8</v>
      </c>
      <c r="F198" t="s">
        <v>9</v>
      </c>
    </row>
    <row r="199" spans="1:6" x14ac:dyDescent="0.25">
      <c r="A199">
        <v>198</v>
      </c>
      <c r="B199" t="s">
        <v>128</v>
      </c>
      <c r="C199" t="s">
        <v>410</v>
      </c>
      <c r="D199">
        <v>24100</v>
      </c>
      <c r="E199" t="s">
        <v>23</v>
      </c>
      <c r="F199" t="s">
        <v>9</v>
      </c>
    </row>
    <row r="200" spans="1:6" x14ac:dyDescent="0.25">
      <c r="A200">
        <v>199</v>
      </c>
      <c r="B200" t="s">
        <v>343</v>
      </c>
      <c r="C200" t="s">
        <v>411</v>
      </c>
      <c r="D200">
        <v>12500</v>
      </c>
      <c r="E200" t="s">
        <v>38</v>
      </c>
      <c r="F200" t="s">
        <v>20</v>
      </c>
    </row>
    <row r="201" spans="1:6" x14ac:dyDescent="0.25">
      <c r="A201">
        <v>200</v>
      </c>
      <c r="B201" t="s">
        <v>256</v>
      </c>
      <c r="C201" t="s">
        <v>412</v>
      </c>
      <c r="D201">
        <v>108700</v>
      </c>
      <c r="E201" t="s">
        <v>8</v>
      </c>
      <c r="F201" t="s">
        <v>9</v>
      </c>
    </row>
    <row r="202" spans="1:6" x14ac:dyDescent="0.25">
      <c r="A202">
        <v>201</v>
      </c>
      <c r="B202" t="s">
        <v>34</v>
      </c>
      <c r="C202" t="s">
        <v>413</v>
      </c>
      <c r="D202">
        <v>12800</v>
      </c>
      <c r="E202" t="s">
        <v>8</v>
      </c>
      <c r="F202" t="s">
        <v>9</v>
      </c>
    </row>
    <row r="203" spans="1:6" x14ac:dyDescent="0.25">
      <c r="A203">
        <v>202</v>
      </c>
      <c r="B203" t="s">
        <v>262</v>
      </c>
      <c r="C203" t="s">
        <v>414</v>
      </c>
      <c r="D203">
        <v>113100</v>
      </c>
      <c r="E203" t="s">
        <v>38</v>
      </c>
      <c r="F203" t="s">
        <v>20</v>
      </c>
    </row>
    <row r="204" spans="1:6" x14ac:dyDescent="0.25">
      <c r="A204">
        <v>203</v>
      </c>
      <c r="B204" t="s">
        <v>136</v>
      </c>
      <c r="C204" t="s">
        <v>415</v>
      </c>
      <c r="D204">
        <v>231900</v>
      </c>
      <c r="E204" t="s">
        <v>38</v>
      </c>
      <c r="F204" t="s">
        <v>20</v>
      </c>
    </row>
    <row r="205" spans="1:6" x14ac:dyDescent="0.25">
      <c r="A205">
        <v>204</v>
      </c>
      <c r="B205" t="s">
        <v>219</v>
      </c>
      <c r="C205" t="s">
        <v>416</v>
      </c>
      <c r="D205">
        <v>68600</v>
      </c>
      <c r="E205" t="s">
        <v>23</v>
      </c>
      <c r="F205" t="s">
        <v>20</v>
      </c>
    </row>
    <row r="206" spans="1:6" x14ac:dyDescent="0.25">
      <c r="A206">
        <v>205</v>
      </c>
      <c r="B206" t="s">
        <v>313</v>
      </c>
      <c r="C206" t="s">
        <v>405</v>
      </c>
      <c r="D206">
        <v>75600</v>
      </c>
      <c r="E206" t="s">
        <v>23</v>
      </c>
      <c r="F206" t="s">
        <v>9</v>
      </c>
    </row>
    <row r="207" spans="1:6" x14ac:dyDescent="0.25">
      <c r="A207">
        <v>206</v>
      </c>
      <c r="B207" t="s">
        <v>349</v>
      </c>
      <c r="C207" t="s">
        <v>406</v>
      </c>
      <c r="D207">
        <v>6300</v>
      </c>
      <c r="E207" t="s">
        <v>8</v>
      </c>
      <c r="F207" t="s">
        <v>20</v>
      </c>
    </row>
    <row r="208" spans="1:6" x14ac:dyDescent="0.25">
      <c r="A208">
        <v>207</v>
      </c>
      <c r="B208" t="s">
        <v>49</v>
      </c>
      <c r="C208" t="s">
        <v>407</v>
      </c>
      <c r="D208">
        <v>26700</v>
      </c>
      <c r="E208" t="s">
        <v>8</v>
      </c>
      <c r="F208" t="s">
        <v>9</v>
      </c>
    </row>
    <row r="209" spans="1:6" x14ac:dyDescent="0.25">
      <c r="A209">
        <v>208</v>
      </c>
      <c r="B209" t="s">
        <v>359</v>
      </c>
      <c r="C209" t="s">
        <v>408</v>
      </c>
      <c r="D209">
        <v>149600</v>
      </c>
      <c r="E209" t="s">
        <v>23</v>
      </c>
      <c r="F209" t="s">
        <v>9</v>
      </c>
    </row>
    <row r="210" spans="1:6" x14ac:dyDescent="0.25">
      <c r="A210">
        <v>209</v>
      </c>
      <c r="B210" t="s">
        <v>227</v>
      </c>
      <c r="C210" t="s">
        <v>409</v>
      </c>
      <c r="D210">
        <v>29900</v>
      </c>
      <c r="E210" t="s">
        <v>23</v>
      </c>
      <c r="F210" t="s">
        <v>9</v>
      </c>
    </row>
    <row r="211" spans="1:6" x14ac:dyDescent="0.25">
      <c r="A211">
        <v>210</v>
      </c>
      <c r="B211" t="s">
        <v>179</v>
      </c>
      <c r="C211" t="s">
        <v>410</v>
      </c>
      <c r="D211">
        <v>29200</v>
      </c>
      <c r="E211" t="s">
        <v>8</v>
      </c>
      <c r="F211" t="s">
        <v>9</v>
      </c>
    </row>
    <row r="212" spans="1:6" x14ac:dyDescent="0.25">
      <c r="A212">
        <v>211</v>
      </c>
      <c r="B212" t="s">
        <v>91</v>
      </c>
      <c r="C212" t="s">
        <v>411</v>
      </c>
      <c r="D212">
        <v>19700</v>
      </c>
      <c r="E212" t="s">
        <v>23</v>
      </c>
      <c r="F212" t="s">
        <v>9</v>
      </c>
    </row>
    <row r="213" spans="1:6" x14ac:dyDescent="0.25">
      <c r="A213">
        <v>212</v>
      </c>
      <c r="B213" t="s">
        <v>224</v>
      </c>
      <c r="C213" t="s">
        <v>412</v>
      </c>
      <c r="D213">
        <v>34800</v>
      </c>
      <c r="E213" t="s">
        <v>23</v>
      </c>
      <c r="F213" t="s">
        <v>9</v>
      </c>
    </row>
    <row r="214" spans="1:6" x14ac:dyDescent="0.25">
      <c r="A214">
        <v>213</v>
      </c>
      <c r="B214" t="s">
        <v>120</v>
      </c>
      <c r="C214" t="s">
        <v>413</v>
      </c>
      <c r="D214">
        <v>71900</v>
      </c>
      <c r="E214" t="s">
        <v>23</v>
      </c>
      <c r="F214" t="s">
        <v>9</v>
      </c>
    </row>
    <row r="215" spans="1:6" x14ac:dyDescent="0.25">
      <c r="A215">
        <v>214</v>
      </c>
      <c r="B215" t="s">
        <v>178</v>
      </c>
      <c r="C215" t="s">
        <v>414</v>
      </c>
      <c r="D215">
        <v>5000</v>
      </c>
      <c r="E215" t="s">
        <v>8</v>
      </c>
      <c r="F215" t="s">
        <v>9</v>
      </c>
    </row>
    <row r="216" spans="1:6" x14ac:dyDescent="0.25">
      <c r="A216">
        <v>215</v>
      </c>
      <c r="B216" t="s">
        <v>175</v>
      </c>
      <c r="C216" t="s">
        <v>415</v>
      </c>
      <c r="D216">
        <v>14600</v>
      </c>
      <c r="E216" t="s">
        <v>23</v>
      </c>
      <c r="F216" t="s">
        <v>20</v>
      </c>
    </row>
    <row r="217" spans="1:6" x14ac:dyDescent="0.25">
      <c r="A217">
        <v>216</v>
      </c>
      <c r="B217" t="s">
        <v>71</v>
      </c>
      <c r="C217" t="s">
        <v>416</v>
      </c>
      <c r="D217">
        <v>10400</v>
      </c>
      <c r="E217" t="s">
        <v>8</v>
      </c>
      <c r="F217" t="s">
        <v>9</v>
      </c>
    </row>
    <row r="218" spans="1:6" x14ac:dyDescent="0.25">
      <c r="A218">
        <v>217</v>
      </c>
      <c r="B218" t="s">
        <v>77</v>
      </c>
      <c r="C218" t="s">
        <v>405</v>
      </c>
      <c r="D218">
        <v>136300</v>
      </c>
      <c r="E218" t="s">
        <v>38</v>
      </c>
      <c r="F218" t="s">
        <v>20</v>
      </c>
    </row>
    <row r="219" spans="1:6" x14ac:dyDescent="0.25">
      <c r="A219">
        <v>218</v>
      </c>
      <c r="B219" t="s">
        <v>313</v>
      </c>
      <c r="C219" t="s">
        <v>406</v>
      </c>
      <c r="D219">
        <v>16200</v>
      </c>
      <c r="E219" t="s">
        <v>8</v>
      </c>
      <c r="F219" t="s">
        <v>9</v>
      </c>
    </row>
    <row r="220" spans="1:6" x14ac:dyDescent="0.25">
      <c r="A220">
        <v>219</v>
      </c>
      <c r="B220" t="s">
        <v>335</v>
      </c>
      <c r="C220" t="s">
        <v>407</v>
      </c>
      <c r="D220">
        <v>18600</v>
      </c>
      <c r="E220" t="s">
        <v>8</v>
      </c>
      <c r="F220" t="s">
        <v>20</v>
      </c>
    </row>
    <row r="221" spans="1:6" x14ac:dyDescent="0.25">
      <c r="A221">
        <v>220</v>
      </c>
      <c r="B221" t="s">
        <v>171</v>
      </c>
      <c r="C221" t="s">
        <v>408</v>
      </c>
      <c r="D221">
        <v>15400</v>
      </c>
      <c r="E221" t="s">
        <v>23</v>
      </c>
      <c r="F221" t="s">
        <v>9</v>
      </c>
    </row>
    <row r="222" spans="1:6" x14ac:dyDescent="0.25">
      <c r="A222">
        <v>221</v>
      </c>
      <c r="B222" t="s">
        <v>278</v>
      </c>
      <c r="C222" t="s">
        <v>409</v>
      </c>
      <c r="D222">
        <v>13400</v>
      </c>
      <c r="E222" t="s">
        <v>8</v>
      </c>
      <c r="F222" t="s">
        <v>9</v>
      </c>
    </row>
    <row r="223" spans="1:6" x14ac:dyDescent="0.25">
      <c r="A223">
        <v>222</v>
      </c>
      <c r="B223" t="s">
        <v>310</v>
      </c>
      <c r="C223" t="s">
        <v>410</v>
      </c>
      <c r="D223">
        <v>18000</v>
      </c>
      <c r="E223" t="s">
        <v>23</v>
      </c>
      <c r="F223" t="s">
        <v>9</v>
      </c>
    </row>
    <row r="224" spans="1:6" x14ac:dyDescent="0.25">
      <c r="A224">
        <v>223</v>
      </c>
      <c r="B224" t="s">
        <v>118</v>
      </c>
      <c r="C224" t="s">
        <v>411</v>
      </c>
      <c r="D224">
        <v>125200</v>
      </c>
      <c r="E224" t="s">
        <v>38</v>
      </c>
      <c r="F224" t="s">
        <v>20</v>
      </c>
    </row>
    <row r="225" spans="1:6" x14ac:dyDescent="0.25">
      <c r="A225">
        <v>224</v>
      </c>
      <c r="B225" t="s">
        <v>236</v>
      </c>
      <c r="C225" t="s">
        <v>412</v>
      </c>
      <c r="D225">
        <v>99000</v>
      </c>
      <c r="E225" t="s">
        <v>38</v>
      </c>
      <c r="F225" t="s">
        <v>20</v>
      </c>
    </row>
    <row r="226" spans="1:6" x14ac:dyDescent="0.25">
      <c r="A226">
        <v>225</v>
      </c>
      <c r="B226" t="s">
        <v>373</v>
      </c>
      <c r="C226" t="s">
        <v>413</v>
      </c>
      <c r="D226">
        <v>58000</v>
      </c>
      <c r="E226" t="s">
        <v>38</v>
      </c>
      <c r="F226" t="s">
        <v>20</v>
      </c>
    </row>
    <row r="227" spans="1:6" x14ac:dyDescent="0.25">
      <c r="A227">
        <v>226</v>
      </c>
      <c r="B227" t="s">
        <v>43</v>
      </c>
      <c r="C227" t="s">
        <v>414</v>
      </c>
      <c r="D227">
        <v>5000</v>
      </c>
      <c r="E227" t="s">
        <v>38</v>
      </c>
      <c r="F227" t="s">
        <v>20</v>
      </c>
    </row>
    <row r="228" spans="1:6" x14ac:dyDescent="0.25">
      <c r="A228">
        <v>227</v>
      </c>
      <c r="B228" t="s">
        <v>68</v>
      </c>
      <c r="C228" t="s">
        <v>415</v>
      </c>
      <c r="D228">
        <v>37000</v>
      </c>
      <c r="E228" t="s">
        <v>38</v>
      </c>
      <c r="F228" t="s">
        <v>20</v>
      </c>
    </row>
    <row r="229" spans="1:6" x14ac:dyDescent="0.25">
      <c r="A229">
        <v>228</v>
      </c>
      <c r="B229" t="s">
        <v>252</v>
      </c>
      <c r="C229" t="s">
        <v>416</v>
      </c>
      <c r="D229">
        <v>20200</v>
      </c>
      <c r="E229" t="s">
        <v>38</v>
      </c>
      <c r="F229" t="s">
        <v>20</v>
      </c>
    </row>
    <row r="230" spans="1:6" x14ac:dyDescent="0.25">
      <c r="A230">
        <v>229</v>
      </c>
      <c r="B230" t="s">
        <v>362</v>
      </c>
      <c r="C230" t="s">
        <v>405</v>
      </c>
      <c r="D230">
        <v>42900</v>
      </c>
      <c r="E230" t="s">
        <v>8</v>
      </c>
      <c r="F230" t="s">
        <v>9</v>
      </c>
    </row>
    <row r="231" spans="1:6" x14ac:dyDescent="0.25">
      <c r="A231">
        <v>230</v>
      </c>
      <c r="B231" t="s">
        <v>212</v>
      </c>
      <c r="C231" t="s">
        <v>406</v>
      </c>
      <c r="D231">
        <v>45500</v>
      </c>
      <c r="E231" t="s">
        <v>23</v>
      </c>
      <c r="F231" t="s">
        <v>9</v>
      </c>
    </row>
    <row r="232" spans="1:6" x14ac:dyDescent="0.25">
      <c r="A232">
        <v>231</v>
      </c>
      <c r="B232" t="s">
        <v>348</v>
      </c>
      <c r="C232" t="s">
        <v>407</v>
      </c>
      <c r="D232">
        <v>22700</v>
      </c>
      <c r="E232" t="s">
        <v>38</v>
      </c>
      <c r="F232" t="s">
        <v>20</v>
      </c>
    </row>
    <row r="233" spans="1:6" x14ac:dyDescent="0.25">
      <c r="A233">
        <v>232</v>
      </c>
      <c r="B233" t="s">
        <v>359</v>
      </c>
      <c r="C233" t="s">
        <v>408</v>
      </c>
      <c r="D233">
        <v>71200</v>
      </c>
      <c r="E233" t="s">
        <v>23</v>
      </c>
      <c r="F233" t="s">
        <v>9</v>
      </c>
    </row>
    <row r="234" spans="1:6" x14ac:dyDescent="0.25">
      <c r="A234">
        <v>233</v>
      </c>
      <c r="B234" t="s">
        <v>318</v>
      </c>
      <c r="C234" t="s">
        <v>409</v>
      </c>
      <c r="D234">
        <v>398300</v>
      </c>
      <c r="E234" t="s">
        <v>8</v>
      </c>
      <c r="F234" t="s">
        <v>9</v>
      </c>
    </row>
    <row r="235" spans="1:6" x14ac:dyDescent="0.25">
      <c r="A235">
        <v>234</v>
      </c>
      <c r="B235" t="s">
        <v>336</v>
      </c>
      <c r="C235" t="s">
        <v>410</v>
      </c>
      <c r="D235">
        <v>68400</v>
      </c>
      <c r="E235" t="s">
        <v>8</v>
      </c>
      <c r="F235" t="s">
        <v>9</v>
      </c>
    </row>
    <row r="236" spans="1:6" x14ac:dyDescent="0.25">
      <c r="A236">
        <v>235</v>
      </c>
      <c r="B236" t="s">
        <v>92</v>
      </c>
      <c r="C236" t="s">
        <v>411</v>
      </c>
      <c r="D236">
        <v>15400</v>
      </c>
      <c r="E236" t="s">
        <v>8</v>
      </c>
      <c r="F236" t="s">
        <v>9</v>
      </c>
    </row>
    <row r="237" spans="1:6" x14ac:dyDescent="0.25">
      <c r="A237">
        <v>236</v>
      </c>
      <c r="B237" t="s">
        <v>61</v>
      </c>
      <c r="C237" t="s">
        <v>412</v>
      </c>
      <c r="D237">
        <v>42700</v>
      </c>
      <c r="E237" t="s">
        <v>38</v>
      </c>
      <c r="F237" t="s">
        <v>9</v>
      </c>
    </row>
    <row r="238" spans="1:6" x14ac:dyDescent="0.25">
      <c r="A238">
        <v>237</v>
      </c>
      <c r="B238" t="s">
        <v>99</v>
      </c>
      <c r="C238" t="s">
        <v>413</v>
      </c>
      <c r="D238">
        <v>60400</v>
      </c>
      <c r="E238" t="s">
        <v>38</v>
      </c>
      <c r="F238" t="s">
        <v>20</v>
      </c>
    </row>
    <row r="239" spans="1:6" x14ac:dyDescent="0.25">
      <c r="A239">
        <v>238</v>
      </c>
      <c r="B239" t="s">
        <v>218</v>
      </c>
      <c r="C239" t="s">
        <v>414</v>
      </c>
      <c r="D239">
        <v>20400</v>
      </c>
      <c r="E239" t="s">
        <v>23</v>
      </c>
      <c r="F239" t="s">
        <v>9</v>
      </c>
    </row>
    <row r="240" spans="1:6" x14ac:dyDescent="0.25">
      <c r="A240">
        <v>239</v>
      </c>
      <c r="B240" t="s">
        <v>179</v>
      </c>
      <c r="C240" t="s">
        <v>415</v>
      </c>
      <c r="D240">
        <v>9100</v>
      </c>
      <c r="E240" t="s">
        <v>38</v>
      </c>
      <c r="F240" t="s">
        <v>20</v>
      </c>
    </row>
    <row r="241" spans="1:6" x14ac:dyDescent="0.25">
      <c r="A241">
        <v>240</v>
      </c>
      <c r="B241" t="s">
        <v>322</v>
      </c>
      <c r="C241" t="s">
        <v>416</v>
      </c>
      <c r="D241">
        <v>21800</v>
      </c>
      <c r="E241" t="s">
        <v>8</v>
      </c>
      <c r="F241" t="s">
        <v>9</v>
      </c>
    </row>
    <row r="242" spans="1:6" x14ac:dyDescent="0.25">
      <c r="A242">
        <v>241</v>
      </c>
      <c r="B242" t="s">
        <v>392</v>
      </c>
      <c r="C242" t="s">
        <v>405</v>
      </c>
      <c r="D242">
        <v>87600</v>
      </c>
      <c r="E242" t="s">
        <v>23</v>
      </c>
      <c r="F242" t="s">
        <v>9</v>
      </c>
    </row>
    <row r="243" spans="1:6" x14ac:dyDescent="0.25">
      <c r="A243">
        <v>242</v>
      </c>
      <c r="B243" t="s">
        <v>122</v>
      </c>
      <c r="C243" t="s">
        <v>406</v>
      </c>
      <c r="D243">
        <v>183300</v>
      </c>
      <c r="E243" t="s">
        <v>38</v>
      </c>
      <c r="F243" t="s">
        <v>20</v>
      </c>
    </row>
    <row r="244" spans="1:6" x14ac:dyDescent="0.25">
      <c r="A244">
        <v>243</v>
      </c>
      <c r="B244" t="s">
        <v>209</v>
      </c>
      <c r="C244" t="s">
        <v>407</v>
      </c>
      <c r="D244">
        <v>12400</v>
      </c>
      <c r="E244" t="s">
        <v>8</v>
      </c>
      <c r="F244" t="s">
        <v>9</v>
      </c>
    </row>
    <row r="245" spans="1:6" x14ac:dyDescent="0.25">
      <c r="A245">
        <v>244</v>
      </c>
      <c r="B245" t="s">
        <v>254</v>
      </c>
      <c r="C245" t="s">
        <v>408</v>
      </c>
      <c r="D245">
        <v>79700</v>
      </c>
      <c r="E245" t="s">
        <v>23</v>
      </c>
      <c r="F245" t="s">
        <v>9</v>
      </c>
    </row>
    <row r="246" spans="1:6" x14ac:dyDescent="0.25">
      <c r="A246">
        <v>245</v>
      </c>
      <c r="B246" t="s">
        <v>366</v>
      </c>
      <c r="C246" t="s">
        <v>409</v>
      </c>
      <c r="D246">
        <v>22700</v>
      </c>
      <c r="E246" t="s">
        <v>38</v>
      </c>
      <c r="F246" t="s">
        <v>20</v>
      </c>
    </row>
    <row r="247" spans="1:6" x14ac:dyDescent="0.25">
      <c r="A247">
        <v>246</v>
      </c>
      <c r="B247" t="s">
        <v>98</v>
      </c>
      <c r="C247" t="s">
        <v>410</v>
      </c>
      <c r="D247">
        <v>201100</v>
      </c>
      <c r="E247" t="s">
        <v>8</v>
      </c>
      <c r="F247" t="s">
        <v>20</v>
      </c>
    </row>
    <row r="248" spans="1:6" x14ac:dyDescent="0.25">
      <c r="A248">
        <v>247</v>
      </c>
      <c r="B248" t="s">
        <v>143</v>
      </c>
      <c r="C248" t="s">
        <v>408</v>
      </c>
      <c r="D248">
        <v>420000</v>
      </c>
      <c r="E248" t="s">
        <v>38</v>
      </c>
      <c r="F248" t="s">
        <v>9</v>
      </c>
    </row>
    <row r="249" spans="1:6" x14ac:dyDescent="0.25">
      <c r="A249">
        <v>248</v>
      </c>
      <c r="B249" t="s">
        <v>162</v>
      </c>
      <c r="C249" t="s">
        <v>412</v>
      </c>
      <c r="D249">
        <v>14000</v>
      </c>
      <c r="E249" t="s">
        <v>23</v>
      </c>
      <c r="F249" t="s">
        <v>9</v>
      </c>
    </row>
    <row r="250" spans="1:6" x14ac:dyDescent="0.25">
      <c r="A250">
        <v>249</v>
      </c>
      <c r="B250" t="s">
        <v>163</v>
      </c>
      <c r="C250" t="s">
        <v>413</v>
      </c>
      <c r="D250">
        <v>109400</v>
      </c>
      <c r="E250" t="s">
        <v>23</v>
      </c>
      <c r="F250" t="s">
        <v>9</v>
      </c>
    </row>
    <row r="251" spans="1:6" x14ac:dyDescent="0.25">
      <c r="A251">
        <v>250</v>
      </c>
      <c r="B251" t="s">
        <v>251</v>
      </c>
      <c r="C251" t="s">
        <v>414</v>
      </c>
      <c r="D251">
        <v>85500</v>
      </c>
      <c r="E251" t="s">
        <v>38</v>
      </c>
      <c r="F251" t="s">
        <v>20</v>
      </c>
    </row>
    <row r="252" spans="1:6" x14ac:dyDescent="0.25">
      <c r="A252">
        <v>251</v>
      </c>
      <c r="B252" t="s">
        <v>365</v>
      </c>
      <c r="C252" t="s">
        <v>415</v>
      </c>
      <c r="D252">
        <v>63200</v>
      </c>
      <c r="E252" t="s">
        <v>38</v>
      </c>
      <c r="F252" t="s">
        <v>20</v>
      </c>
    </row>
    <row r="253" spans="1:6" x14ac:dyDescent="0.25">
      <c r="A253">
        <v>252</v>
      </c>
      <c r="B253" t="s">
        <v>138</v>
      </c>
      <c r="C253" t="s">
        <v>416</v>
      </c>
      <c r="D253">
        <v>23600</v>
      </c>
      <c r="E253" t="s">
        <v>38</v>
      </c>
      <c r="F253" t="s">
        <v>20</v>
      </c>
    </row>
    <row r="254" spans="1:6" x14ac:dyDescent="0.25">
      <c r="A254">
        <v>253</v>
      </c>
      <c r="B254" t="s">
        <v>240</v>
      </c>
      <c r="C254" t="s">
        <v>405</v>
      </c>
      <c r="D254">
        <v>136400</v>
      </c>
      <c r="E254" t="s">
        <v>8</v>
      </c>
      <c r="F254" t="s">
        <v>9</v>
      </c>
    </row>
    <row r="255" spans="1:6" x14ac:dyDescent="0.25">
      <c r="A255">
        <v>254</v>
      </c>
      <c r="B255" t="s">
        <v>196</v>
      </c>
      <c r="C255" t="s">
        <v>406</v>
      </c>
      <c r="D255">
        <v>93100</v>
      </c>
      <c r="E255" t="s">
        <v>23</v>
      </c>
      <c r="F255" t="s">
        <v>9</v>
      </c>
    </row>
    <row r="256" spans="1:6" x14ac:dyDescent="0.25">
      <c r="A256">
        <v>255</v>
      </c>
      <c r="B256" t="s">
        <v>231</v>
      </c>
      <c r="C256" t="s">
        <v>407</v>
      </c>
      <c r="D256">
        <v>38100</v>
      </c>
      <c r="E256" t="s">
        <v>38</v>
      </c>
      <c r="F256" t="s">
        <v>20</v>
      </c>
    </row>
    <row r="257" spans="1:6" x14ac:dyDescent="0.25">
      <c r="A257">
        <v>256</v>
      </c>
      <c r="B257" t="s">
        <v>67</v>
      </c>
      <c r="C257" t="s">
        <v>408</v>
      </c>
      <c r="D257">
        <v>5000</v>
      </c>
      <c r="E257" t="s">
        <v>38</v>
      </c>
      <c r="F257" t="s">
        <v>20</v>
      </c>
    </row>
    <row r="258" spans="1:6" x14ac:dyDescent="0.25">
      <c r="A258">
        <v>257</v>
      </c>
      <c r="B258" t="s">
        <v>116</v>
      </c>
      <c r="C258" t="s">
        <v>409</v>
      </c>
      <c r="D258">
        <v>32900</v>
      </c>
      <c r="E258" t="s">
        <v>8</v>
      </c>
      <c r="F258" t="s">
        <v>9</v>
      </c>
    </row>
    <row r="259" spans="1:6" x14ac:dyDescent="0.25">
      <c r="A259">
        <v>258</v>
      </c>
      <c r="B259" t="s">
        <v>163</v>
      </c>
      <c r="C259" t="s">
        <v>410</v>
      </c>
      <c r="D259">
        <v>58000</v>
      </c>
      <c r="E259" t="s">
        <v>23</v>
      </c>
      <c r="F259" t="s">
        <v>9</v>
      </c>
    </row>
    <row r="260" spans="1:6" x14ac:dyDescent="0.25">
      <c r="A260">
        <v>259</v>
      </c>
      <c r="B260" t="s">
        <v>308</v>
      </c>
      <c r="C260" t="s">
        <v>411</v>
      </c>
      <c r="D260">
        <v>13600</v>
      </c>
      <c r="E260" t="s">
        <v>8</v>
      </c>
      <c r="F260" t="s">
        <v>9</v>
      </c>
    </row>
    <row r="261" spans="1:6" x14ac:dyDescent="0.25">
      <c r="A261">
        <v>260</v>
      </c>
      <c r="B261" t="s">
        <v>16</v>
      </c>
      <c r="C261" t="s">
        <v>412</v>
      </c>
      <c r="D261">
        <v>141100</v>
      </c>
      <c r="E261" t="s">
        <v>38</v>
      </c>
      <c r="F261" t="s">
        <v>20</v>
      </c>
    </row>
    <row r="262" spans="1:6" x14ac:dyDescent="0.25">
      <c r="A262">
        <v>261</v>
      </c>
      <c r="B262" t="s">
        <v>277</v>
      </c>
      <c r="C262" t="s">
        <v>413</v>
      </c>
      <c r="D262">
        <v>11800</v>
      </c>
      <c r="E262" t="s">
        <v>8</v>
      </c>
      <c r="F262" t="s">
        <v>9</v>
      </c>
    </row>
    <row r="263" spans="1:6" x14ac:dyDescent="0.25">
      <c r="A263">
        <v>262</v>
      </c>
      <c r="B263" t="s">
        <v>50</v>
      </c>
      <c r="C263" t="s">
        <v>414</v>
      </c>
      <c r="D263">
        <v>44200</v>
      </c>
      <c r="E263" t="s">
        <v>38</v>
      </c>
      <c r="F263" t="s">
        <v>20</v>
      </c>
    </row>
    <row r="264" spans="1:6" x14ac:dyDescent="0.25">
      <c r="A264">
        <v>263</v>
      </c>
      <c r="B264" t="s">
        <v>420</v>
      </c>
      <c r="C264" t="s">
        <v>415</v>
      </c>
      <c r="D264">
        <v>26500</v>
      </c>
      <c r="E264" t="s">
        <v>8</v>
      </c>
      <c r="F264" t="s">
        <v>9</v>
      </c>
    </row>
    <row r="265" spans="1:6" x14ac:dyDescent="0.25">
      <c r="A265">
        <v>264</v>
      </c>
      <c r="B265" t="s">
        <v>181</v>
      </c>
      <c r="C265" t="s">
        <v>416</v>
      </c>
      <c r="D265">
        <v>40900</v>
      </c>
      <c r="E265" t="s">
        <v>23</v>
      </c>
      <c r="F265" t="s">
        <v>9</v>
      </c>
    </row>
    <row r="266" spans="1:6" x14ac:dyDescent="0.25">
      <c r="A266">
        <v>265</v>
      </c>
      <c r="B266" t="s">
        <v>323</v>
      </c>
      <c r="C266" t="s">
        <v>405</v>
      </c>
      <c r="D266">
        <v>67700</v>
      </c>
      <c r="E266" t="s">
        <v>8</v>
      </c>
      <c r="F266" t="s">
        <v>9</v>
      </c>
    </row>
    <row r="267" spans="1:6" x14ac:dyDescent="0.25">
      <c r="A267">
        <v>266</v>
      </c>
      <c r="B267" t="s">
        <v>148</v>
      </c>
      <c r="C267" t="s">
        <v>406</v>
      </c>
      <c r="D267">
        <v>69700</v>
      </c>
      <c r="E267" t="s">
        <v>23</v>
      </c>
      <c r="F267" t="s">
        <v>9</v>
      </c>
    </row>
    <row r="268" spans="1:6" x14ac:dyDescent="0.25">
      <c r="A268">
        <v>267</v>
      </c>
      <c r="B268" t="s">
        <v>93</v>
      </c>
      <c r="C268" t="s">
        <v>407</v>
      </c>
      <c r="D268">
        <v>313000</v>
      </c>
      <c r="E268" t="s">
        <v>38</v>
      </c>
      <c r="F268" t="s">
        <v>20</v>
      </c>
    </row>
    <row r="269" spans="1:6" x14ac:dyDescent="0.25">
      <c r="A269">
        <v>268</v>
      </c>
      <c r="B269" t="s">
        <v>258</v>
      </c>
      <c r="C269" t="s">
        <v>408</v>
      </c>
      <c r="D269">
        <v>103200</v>
      </c>
      <c r="E269" t="s">
        <v>23</v>
      </c>
      <c r="F269" t="s">
        <v>9</v>
      </c>
    </row>
    <row r="270" spans="1:6" x14ac:dyDescent="0.25">
      <c r="A270">
        <v>269</v>
      </c>
      <c r="B270" t="s">
        <v>64</v>
      </c>
      <c r="C270" t="s">
        <v>409</v>
      </c>
      <c r="D270">
        <v>51300</v>
      </c>
      <c r="E270" t="s">
        <v>8</v>
      </c>
      <c r="F270" t="s">
        <v>9</v>
      </c>
    </row>
    <row r="271" spans="1:6" x14ac:dyDescent="0.25">
      <c r="A271">
        <v>270</v>
      </c>
      <c r="B271" t="s">
        <v>260</v>
      </c>
      <c r="C271" t="s">
        <v>410</v>
      </c>
      <c r="D271">
        <v>18600</v>
      </c>
      <c r="E271" t="s">
        <v>38</v>
      </c>
      <c r="F271" t="s">
        <v>20</v>
      </c>
    </row>
    <row r="272" spans="1:6" x14ac:dyDescent="0.25">
      <c r="A272">
        <v>271</v>
      </c>
      <c r="B272" t="s">
        <v>224</v>
      </c>
      <c r="C272" t="s">
        <v>411</v>
      </c>
      <c r="D272">
        <v>32700</v>
      </c>
      <c r="E272" t="s">
        <v>8</v>
      </c>
      <c r="F272" t="s">
        <v>9</v>
      </c>
    </row>
    <row r="273" spans="1:6" x14ac:dyDescent="0.25">
      <c r="A273">
        <v>272</v>
      </c>
      <c r="B273" t="s">
        <v>324</v>
      </c>
      <c r="C273" t="s">
        <v>412</v>
      </c>
      <c r="D273">
        <v>44600</v>
      </c>
      <c r="E273" t="s">
        <v>8</v>
      </c>
      <c r="F273" t="s">
        <v>20</v>
      </c>
    </row>
    <row r="274" spans="1:6" x14ac:dyDescent="0.25">
      <c r="A274">
        <v>273</v>
      </c>
      <c r="B274" t="s">
        <v>32</v>
      </c>
      <c r="C274" t="s">
        <v>413</v>
      </c>
      <c r="D274">
        <v>219300</v>
      </c>
      <c r="E274" t="s">
        <v>23</v>
      </c>
      <c r="F274" t="s">
        <v>9</v>
      </c>
    </row>
    <row r="275" spans="1:6" x14ac:dyDescent="0.25">
      <c r="A275">
        <v>274</v>
      </c>
      <c r="B275" t="s">
        <v>91</v>
      </c>
      <c r="C275" t="s">
        <v>414</v>
      </c>
      <c r="D275">
        <v>350900</v>
      </c>
      <c r="E275" t="s">
        <v>8</v>
      </c>
      <c r="F275" t="s">
        <v>20</v>
      </c>
    </row>
    <row r="276" spans="1:6" x14ac:dyDescent="0.25">
      <c r="A276">
        <v>275</v>
      </c>
      <c r="B276" t="s">
        <v>227</v>
      </c>
      <c r="C276" t="s">
        <v>415</v>
      </c>
      <c r="D276">
        <v>33200</v>
      </c>
      <c r="E276" t="s">
        <v>23</v>
      </c>
      <c r="F276" t="s">
        <v>9</v>
      </c>
    </row>
    <row r="277" spans="1:6" x14ac:dyDescent="0.25">
      <c r="A277">
        <v>276</v>
      </c>
      <c r="B277" t="s">
        <v>387</v>
      </c>
      <c r="C277" t="s">
        <v>416</v>
      </c>
      <c r="D277">
        <v>23200</v>
      </c>
      <c r="E277" t="s">
        <v>8</v>
      </c>
      <c r="F277" t="s">
        <v>20</v>
      </c>
    </row>
    <row r="278" spans="1:6" x14ac:dyDescent="0.25">
      <c r="A278">
        <v>277</v>
      </c>
      <c r="B278" t="s">
        <v>333</v>
      </c>
      <c r="C278" t="s">
        <v>405</v>
      </c>
      <c r="D278">
        <v>44500</v>
      </c>
      <c r="E278" t="s">
        <v>38</v>
      </c>
      <c r="F278" t="s">
        <v>20</v>
      </c>
    </row>
    <row r="279" spans="1:6" x14ac:dyDescent="0.25">
      <c r="A279">
        <v>278</v>
      </c>
      <c r="B279" t="s">
        <v>273</v>
      </c>
      <c r="C279" t="s">
        <v>406</v>
      </c>
      <c r="D279">
        <v>15000</v>
      </c>
      <c r="E279" t="s">
        <v>23</v>
      </c>
      <c r="F279" t="s">
        <v>20</v>
      </c>
    </row>
    <row r="280" spans="1:6" x14ac:dyDescent="0.25">
      <c r="A280">
        <v>279</v>
      </c>
      <c r="B280" t="s">
        <v>76</v>
      </c>
      <c r="C280" t="s">
        <v>407</v>
      </c>
      <c r="D280">
        <v>28500</v>
      </c>
      <c r="E280" t="s">
        <v>8</v>
      </c>
      <c r="F280" t="s">
        <v>9</v>
      </c>
    </row>
    <row r="281" spans="1:6" x14ac:dyDescent="0.25">
      <c r="A281">
        <v>280</v>
      </c>
      <c r="B281" t="s">
        <v>326</v>
      </c>
      <c r="C281" t="s">
        <v>408</v>
      </c>
      <c r="D281">
        <v>18900</v>
      </c>
      <c r="E281" t="s">
        <v>23</v>
      </c>
      <c r="F281" t="s">
        <v>9</v>
      </c>
    </row>
    <row r="282" spans="1:6" x14ac:dyDescent="0.25">
      <c r="A282">
        <v>281</v>
      </c>
      <c r="B282" t="s">
        <v>193</v>
      </c>
      <c r="C282" t="s">
        <v>409</v>
      </c>
      <c r="D282">
        <v>46800</v>
      </c>
      <c r="E282" t="s">
        <v>38</v>
      </c>
      <c r="F282" t="s">
        <v>20</v>
      </c>
    </row>
    <row r="283" spans="1:6" x14ac:dyDescent="0.25">
      <c r="A283">
        <v>282</v>
      </c>
      <c r="B283" t="s">
        <v>418</v>
      </c>
      <c r="C283" t="s">
        <v>410</v>
      </c>
      <c r="D283">
        <v>17200</v>
      </c>
      <c r="E283" t="s">
        <v>8</v>
      </c>
      <c r="F283" t="s">
        <v>9</v>
      </c>
    </row>
    <row r="284" spans="1:6" x14ac:dyDescent="0.25">
      <c r="A284">
        <v>283</v>
      </c>
      <c r="B284" t="s">
        <v>70</v>
      </c>
      <c r="C284" t="s">
        <v>411</v>
      </c>
      <c r="D284">
        <v>160700</v>
      </c>
      <c r="E284" t="s">
        <v>8</v>
      </c>
      <c r="F284" t="s">
        <v>9</v>
      </c>
    </row>
    <row r="285" spans="1:6" x14ac:dyDescent="0.25">
      <c r="A285">
        <v>284</v>
      </c>
      <c r="B285" t="s">
        <v>42</v>
      </c>
      <c r="C285" t="s">
        <v>412</v>
      </c>
      <c r="D285">
        <v>55300</v>
      </c>
      <c r="E285" t="s">
        <v>8</v>
      </c>
      <c r="F285" t="s">
        <v>9</v>
      </c>
    </row>
    <row r="286" spans="1:6" x14ac:dyDescent="0.25">
      <c r="A286">
        <v>285</v>
      </c>
      <c r="B286" t="s">
        <v>369</v>
      </c>
      <c r="C286" t="s">
        <v>413</v>
      </c>
      <c r="D286">
        <v>47100</v>
      </c>
      <c r="E286" t="s">
        <v>8</v>
      </c>
      <c r="F286" t="s">
        <v>9</v>
      </c>
    </row>
    <row r="287" spans="1:6" x14ac:dyDescent="0.25">
      <c r="A287">
        <v>286</v>
      </c>
      <c r="B287" t="s">
        <v>141</v>
      </c>
      <c r="C287" t="s">
        <v>414</v>
      </c>
      <c r="D287">
        <v>117700</v>
      </c>
      <c r="E287" t="s">
        <v>23</v>
      </c>
      <c r="F287" t="s">
        <v>20</v>
      </c>
    </row>
    <row r="288" spans="1:6" x14ac:dyDescent="0.25">
      <c r="A288">
        <v>287</v>
      </c>
      <c r="B288" t="s">
        <v>119</v>
      </c>
      <c r="C288" t="s">
        <v>415</v>
      </c>
      <c r="D288">
        <v>5000</v>
      </c>
      <c r="E288" t="s">
        <v>8</v>
      </c>
      <c r="F288" t="s">
        <v>20</v>
      </c>
    </row>
    <row r="289" spans="1:6" x14ac:dyDescent="0.25">
      <c r="A289">
        <v>288</v>
      </c>
      <c r="B289" t="s">
        <v>289</v>
      </c>
      <c r="C289" t="s">
        <v>416</v>
      </c>
      <c r="D289">
        <v>16900</v>
      </c>
      <c r="E289" t="s">
        <v>38</v>
      </c>
      <c r="F289" t="s">
        <v>20</v>
      </c>
    </row>
    <row r="290" spans="1:6" x14ac:dyDescent="0.25">
      <c r="A290">
        <v>289</v>
      </c>
      <c r="B290" t="s">
        <v>131</v>
      </c>
      <c r="C290" t="s">
        <v>405</v>
      </c>
      <c r="D290">
        <v>58200</v>
      </c>
      <c r="E290" t="s">
        <v>8</v>
      </c>
      <c r="F290" t="s">
        <v>9</v>
      </c>
    </row>
    <row r="291" spans="1:6" x14ac:dyDescent="0.25">
      <c r="A291">
        <v>290</v>
      </c>
      <c r="B291" t="s">
        <v>251</v>
      </c>
      <c r="C291" t="s">
        <v>406</v>
      </c>
      <c r="D291">
        <v>60900</v>
      </c>
      <c r="E291" t="s">
        <v>8</v>
      </c>
      <c r="F291" t="s">
        <v>20</v>
      </c>
    </row>
    <row r="292" spans="1:6" x14ac:dyDescent="0.25">
      <c r="A292">
        <v>291</v>
      </c>
      <c r="B292" t="s">
        <v>399</v>
      </c>
      <c r="C292" t="s">
        <v>407</v>
      </c>
      <c r="D292">
        <v>94100</v>
      </c>
      <c r="E292" t="s">
        <v>23</v>
      </c>
      <c r="F292" t="s">
        <v>9</v>
      </c>
    </row>
    <row r="293" spans="1:6" x14ac:dyDescent="0.25">
      <c r="A293">
        <v>292</v>
      </c>
      <c r="B293" t="s">
        <v>235</v>
      </c>
      <c r="C293" t="s">
        <v>408</v>
      </c>
      <c r="D293">
        <v>188400</v>
      </c>
      <c r="E293" t="s">
        <v>38</v>
      </c>
      <c r="F293" t="s">
        <v>9</v>
      </c>
    </row>
    <row r="294" spans="1:6" x14ac:dyDescent="0.25">
      <c r="A294">
        <v>293</v>
      </c>
      <c r="B294" t="s">
        <v>215</v>
      </c>
      <c r="C294" t="s">
        <v>409</v>
      </c>
      <c r="D294">
        <v>79700</v>
      </c>
      <c r="E294" t="s">
        <v>38</v>
      </c>
      <c r="F294" t="s">
        <v>9</v>
      </c>
    </row>
    <row r="295" spans="1:6" x14ac:dyDescent="0.25">
      <c r="A295">
        <v>294</v>
      </c>
      <c r="B295" t="s">
        <v>123</v>
      </c>
      <c r="C295" t="s">
        <v>410</v>
      </c>
      <c r="D295">
        <v>39500</v>
      </c>
      <c r="E295" t="s">
        <v>23</v>
      </c>
      <c r="F295" t="s">
        <v>9</v>
      </c>
    </row>
    <row r="296" spans="1:6" x14ac:dyDescent="0.25">
      <c r="A296">
        <v>295</v>
      </c>
      <c r="B296" t="s">
        <v>342</v>
      </c>
      <c r="C296" t="s">
        <v>411</v>
      </c>
      <c r="D296">
        <v>40700</v>
      </c>
      <c r="E296" t="s">
        <v>38</v>
      </c>
      <c r="F296" t="s">
        <v>9</v>
      </c>
    </row>
    <row r="297" spans="1:6" x14ac:dyDescent="0.25">
      <c r="A297">
        <v>296</v>
      </c>
      <c r="B297" t="s">
        <v>292</v>
      </c>
      <c r="C297" t="s">
        <v>412</v>
      </c>
      <c r="D297">
        <v>16800</v>
      </c>
      <c r="E297" t="s">
        <v>8</v>
      </c>
      <c r="F297" t="s">
        <v>9</v>
      </c>
    </row>
    <row r="298" spans="1:6" x14ac:dyDescent="0.25">
      <c r="A298">
        <v>297</v>
      </c>
      <c r="B298" t="s">
        <v>193</v>
      </c>
      <c r="C298" t="s">
        <v>413</v>
      </c>
      <c r="D298">
        <v>90700</v>
      </c>
      <c r="E298" t="s">
        <v>8</v>
      </c>
      <c r="F298" t="s">
        <v>9</v>
      </c>
    </row>
    <row r="299" spans="1:6" x14ac:dyDescent="0.25">
      <c r="A299">
        <v>298</v>
      </c>
      <c r="B299" t="s">
        <v>76</v>
      </c>
      <c r="C299" t="s">
        <v>414</v>
      </c>
      <c r="D299">
        <v>72500</v>
      </c>
      <c r="E299" t="s">
        <v>23</v>
      </c>
      <c r="F299" t="s">
        <v>9</v>
      </c>
    </row>
    <row r="300" spans="1:6" x14ac:dyDescent="0.25">
      <c r="A300">
        <v>299</v>
      </c>
      <c r="B300" t="s">
        <v>114</v>
      </c>
      <c r="C300" t="s">
        <v>415</v>
      </c>
      <c r="D300">
        <v>42300</v>
      </c>
      <c r="E300" t="s">
        <v>38</v>
      </c>
      <c r="F300" t="s">
        <v>9</v>
      </c>
    </row>
    <row r="301" spans="1:6" x14ac:dyDescent="0.25">
      <c r="A301">
        <v>300</v>
      </c>
      <c r="B301" t="s">
        <v>171</v>
      </c>
      <c r="C301" t="s">
        <v>416</v>
      </c>
      <c r="D301">
        <v>286700</v>
      </c>
      <c r="E301" t="s">
        <v>38</v>
      </c>
      <c r="F301" t="s">
        <v>20</v>
      </c>
    </row>
    <row r="302" spans="1:6" x14ac:dyDescent="0.25">
      <c r="A302">
        <v>301</v>
      </c>
      <c r="B302" t="s">
        <v>93</v>
      </c>
      <c r="C302" t="s">
        <v>405</v>
      </c>
      <c r="D302">
        <v>48900</v>
      </c>
      <c r="E302" t="s">
        <v>8</v>
      </c>
      <c r="F302" t="s">
        <v>9</v>
      </c>
    </row>
    <row r="303" spans="1:6" x14ac:dyDescent="0.25">
      <c r="A303">
        <v>302</v>
      </c>
      <c r="B303" t="s">
        <v>79</v>
      </c>
      <c r="C303" t="s">
        <v>406</v>
      </c>
      <c r="D303">
        <v>16100</v>
      </c>
      <c r="E303" t="s">
        <v>8</v>
      </c>
      <c r="F303" t="s">
        <v>9</v>
      </c>
    </row>
    <row r="304" spans="1:6" x14ac:dyDescent="0.25">
      <c r="A304">
        <v>303</v>
      </c>
      <c r="B304" t="s">
        <v>327</v>
      </c>
      <c r="C304" t="s">
        <v>407</v>
      </c>
      <c r="D304">
        <v>85800</v>
      </c>
      <c r="E304" t="s">
        <v>23</v>
      </c>
      <c r="F304" t="s">
        <v>9</v>
      </c>
    </row>
    <row r="305" spans="1:6" x14ac:dyDescent="0.25">
      <c r="A305">
        <v>304</v>
      </c>
      <c r="B305" t="s">
        <v>333</v>
      </c>
      <c r="C305" t="s">
        <v>408</v>
      </c>
      <c r="D305">
        <v>15800</v>
      </c>
      <c r="E305" t="s">
        <v>38</v>
      </c>
      <c r="F305" t="s">
        <v>20</v>
      </c>
    </row>
    <row r="306" spans="1:6" x14ac:dyDescent="0.25">
      <c r="A306">
        <v>305</v>
      </c>
      <c r="B306" t="s">
        <v>162</v>
      </c>
      <c r="C306" t="s">
        <v>409</v>
      </c>
      <c r="D306">
        <v>71700</v>
      </c>
      <c r="E306" t="s">
        <v>8</v>
      </c>
      <c r="F306" t="s">
        <v>9</v>
      </c>
    </row>
    <row r="307" spans="1:6" x14ac:dyDescent="0.25">
      <c r="A307">
        <v>306</v>
      </c>
      <c r="B307" t="s">
        <v>185</v>
      </c>
      <c r="C307" t="s">
        <v>410</v>
      </c>
      <c r="D307">
        <v>16400</v>
      </c>
      <c r="E307" t="s">
        <v>23</v>
      </c>
      <c r="F307" t="s">
        <v>20</v>
      </c>
    </row>
    <row r="308" spans="1:6" x14ac:dyDescent="0.25">
      <c r="A308">
        <v>307</v>
      </c>
      <c r="B308" t="s">
        <v>288</v>
      </c>
      <c r="C308" t="s">
        <v>411</v>
      </c>
      <c r="D308">
        <v>61600</v>
      </c>
      <c r="E308" t="s">
        <v>8</v>
      </c>
      <c r="F308" t="s">
        <v>9</v>
      </c>
    </row>
    <row r="309" spans="1:6" x14ac:dyDescent="0.25">
      <c r="A309">
        <v>308</v>
      </c>
      <c r="B309" t="s">
        <v>247</v>
      </c>
      <c r="C309" t="s">
        <v>412</v>
      </c>
      <c r="D309">
        <v>53900</v>
      </c>
      <c r="E309" t="s">
        <v>38</v>
      </c>
      <c r="F309" t="s">
        <v>20</v>
      </c>
    </row>
    <row r="310" spans="1:6" x14ac:dyDescent="0.25">
      <c r="A310">
        <v>309</v>
      </c>
      <c r="B310" t="s">
        <v>183</v>
      </c>
      <c r="C310" t="s">
        <v>413</v>
      </c>
      <c r="D310">
        <v>57900</v>
      </c>
      <c r="E310" t="s">
        <v>23</v>
      </c>
      <c r="F310" t="s">
        <v>20</v>
      </c>
    </row>
    <row r="311" spans="1:6" x14ac:dyDescent="0.25">
      <c r="A311">
        <v>310</v>
      </c>
      <c r="B311" t="s">
        <v>270</v>
      </c>
      <c r="C311" t="s">
        <v>414</v>
      </c>
      <c r="D311">
        <v>46000</v>
      </c>
      <c r="E311" t="s">
        <v>23</v>
      </c>
      <c r="F311" t="s">
        <v>9</v>
      </c>
    </row>
    <row r="312" spans="1:6" x14ac:dyDescent="0.25">
      <c r="A312">
        <v>311</v>
      </c>
      <c r="B312" t="s">
        <v>266</v>
      </c>
      <c r="C312" t="s">
        <v>415</v>
      </c>
      <c r="D312">
        <v>23900</v>
      </c>
      <c r="E312" t="s">
        <v>8</v>
      </c>
      <c r="F312" t="s">
        <v>9</v>
      </c>
    </row>
    <row r="313" spans="1:6" x14ac:dyDescent="0.25">
      <c r="A313">
        <v>312</v>
      </c>
      <c r="B313" t="s">
        <v>158</v>
      </c>
      <c r="C313" t="s">
        <v>416</v>
      </c>
      <c r="D313">
        <v>16800</v>
      </c>
      <c r="E313" t="s">
        <v>8</v>
      </c>
      <c r="F313" t="s">
        <v>9</v>
      </c>
    </row>
    <row r="314" spans="1:6" x14ac:dyDescent="0.25">
      <c r="A314">
        <v>313</v>
      </c>
      <c r="B314" t="s">
        <v>117</v>
      </c>
      <c r="C314" t="s">
        <v>405</v>
      </c>
      <c r="D314">
        <v>37500</v>
      </c>
      <c r="E314" t="s">
        <v>8</v>
      </c>
      <c r="F314" t="s">
        <v>20</v>
      </c>
    </row>
    <row r="315" spans="1:6" x14ac:dyDescent="0.25">
      <c r="A315">
        <v>314</v>
      </c>
      <c r="B315" t="s">
        <v>79</v>
      </c>
      <c r="C315" t="s">
        <v>406</v>
      </c>
      <c r="D315">
        <v>79000</v>
      </c>
      <c r="E315" t="s">
        <v>8</v>
      </c>
      <c r="F315" t="s">
        <v>20</v>
      </c>
    </row>
    <row r="316" spans="1:6" x14ac:dyDescent="0.25">
      <c r="A316">
        <v>315</v>
      </c>
      <c r="B316" t="s">
        <v>212</v>
      </c>
      <c r="C316" t="s">
        <v>407</v>
      </c>
      <c r="D316">
        <v>181000</v>
      </c>
      <c r="E316" t="s">
        <v>8</v>
      </c>
      <c r="F316" t="s">
        <v>9</v>
      </c>
    </row>
    <row r="317" spans="1:6" x14ac:dyDescent="0.25">
      <c r="A317">
        <v>316</v>
      </c>
      <c r="B317" t="s">
        <v>60</v>
      </c>
      <c r="C317" t="s">
        <v>408</v>
      </c>
      <c r="D317">
        <v>8400</v>
      </c>
      <c r="E317" t="s">
        <v>23</v>
      </c>
      <c r="F317" t="s">
        <v>9</v>
      </c>
    </row>
    <row r="318" spans="1:6" x14ac:dyDescent="0.25">
      <c r="A318">
        <v>317</v>
      </c>
      <c r="B318" t="s">
        <v>320</v>
      </c>
      <c r="C318" t="s">
        <v>409</v>
      </c>
      <c r="D318">
        <v>102600</v>
      </c>
      <c r="E318" t="s">
        <v>8</v>
      </c>
      <c r="F318" t="s">
        <v>9</v>
      </c>
    </row>
    <row r="319" spans="1:6" x14ac:dyDescent="0.25">
      <c r="A319">
        <v>318</v>
      </c>
      <c r="B319" t="s">
        <v>287</v>
      </c>
      <c r="C319" t="s">
        <v>410</v>
      </c>
      <c r="D319">
        <v>27900</v>
      </c>
      <c r="E319" t="s">
        <v>23</v>
      </c>
      <c r="F319" t="s">
        <v>9</v>
      </c>
    </row>
    <row r="320" spans="1:6" x14ac:dyDescent="0.25">
      <c r="A320">
        <v>319</v>
      </c>
      <c r="B320" t="s">
        <v>214</v>
      </c>
      <c r="C320" t="s">
        <v>411</v>
      </c>
      <c r="D320">
        <v>21300</v>
      </c>
      <c r="E320" t="s">
        <v>8</v>
      </c>
      <c r="F320" t="s">
        <v>20</v>
      </c>
    </row>
    <row r="321" spans="1:6" x14ac:dyDescent="0.25">
      <c r="A321">
        <v>320</v>
      </c>
      <c r="B321" t="s">
        <v>160</v>
      </c>
      <c r="C321" t="s">
        <v>412</v>
      </c>
      <c r="D321">
        <v>258700</v>
      </c>
      <c r="E321" t="s">
        <v>23</v>
      </c>
      <c r="F321" t="s">
        <v>9</v>
      </c>
    </row>
    <row r="322" spans="1:6" x14ac:dyDescent="0.25">
      <c r="A322">
        <v>321</v>
      </c>
      <c r="B322" t="s">
        <v>272</v>
      </c>
      <c r="C322" t="s">
        <v>413</v>
      </c>
      <c r="D322">
        <v>183600</v>
      </c>
      <c r="E322" t="s">
        <v>38</v>
      </c>
      <c r="F322" t="s">
        <v>9</v>
      </c>
    </row>
    <row r="323" spans="1:6" x14ac:dyDescent="0.25">
      <c r="A323">
        <v>322</v>
      </c>
      <c r="B323" t="s">
        <v>28</v>
      </c>
      <c r="C323" t="s">
        <v>414</v>
      </c>
      <c r="D323">
        <v>12000</v>
      </c>
      <c r="E323" t="s">
        <v>23</v>
      </c>
      <c r="F323" t="s">
        <v>9</v>
      </c>
    </row>
    <row r="324" spans="1:6" x14ac:dyDescent="0.25">
      <c r="A324">
        <v>323</v>
      </c>
      <c r="B324" t="s">
        <v>122</v>
      </c>
      <c r="C324" t="s">
        <v>415</v>
      </c>
      <c r="D324">
        <v>18700</v>
      </c>
      <c r="E324" t="s">
        <v>38</v>
      </c>
      <c r="F324" t="s">
        <v>9</v>
      </c>
    </row>
    <row r="325" spans="1:6" x14ac:dyDescent="0.25">
      <c r="A325">
        <v>324</v>
      </c>
      <c r="B325" t="s">
        <v>255</v>
      </c>
      <c r="C325" t="s">
        <v>416</v>
      </c>
      <c r="D325">
        <v>53900</v>
      </c>
      <c r="E325" t="s">
        <v>8</v>
      </c>
      <c r="F325" t="s">
        <v>9</v>
      </c>
    </row>
    <row r="326" spans="1:6" x14ac:dyDescent="0.25">
      <c r="A326">
        <v>325</v>
      </c>
      <c r="B326" t="s">
        <v>347</v>
      </c>
      <c r="C326" t="s">
        <v>405</v>
      </c>
      <c r="D326">
        <v>15200</v>
      </c>
      <c r="E326" t="s">
        <v>23</v>
      </c>
      <c r="F326" t="s">
        <v>9</v>
      </c>
    </row>
    <row r="327" spans="1:6" x14ac:dyDescent="0.25">
      <c r="A327">
        <v>326</v>
      </c>
      <c r="B327" t="s">
        <v>327</v>
      </c>
      <c r="C327" t="s">
        <v>406</v>
      </c>
      <c r="D327">
        <v>40900</v>
      </c>
      <c r="E327" t="s">
        <v>8</v>
      </c>
      <c r="F327" t="s">
        <v>9</v>
      </c>
    </row>
    <row r="328" spans="1:6" x14ac:dyDescent="0.25">
      <c r="A328">
        <v>327</v>
      </c>
      <c r="B328" t="s">
        <v>109</v>
      </c>
      <c r="C328" t="s">
        <v>407</v>
      </c>
      <c r="D328">
        <v>38400</v>
      </c>
      <c r="E328" t="s">
        <v>23</v>
      </c>
      <c r="F328" t="s">
        <v>9</v>
      </c>
    </row>
    <row r="329" spans="1:6" x14ac:dyDescent="0.25">
      <c r="A329">
        <v>328</v>
      </c>
      <c r="B329" t="s">
        <v>318</v>
      </c>
      <c r="C329" t="s">
        <v>408</v>
      </c>
      <c r="D329">
        <v>165400</v>
      </c>
      <c r="E329" t="s">
        <v>8</v>
      </c>
      <c r="F329" t="s">
        <v>9</v>
      </c>
    </row>
    <row r="330" spans="1:6" x14ac:dyDescent="0.25">
      <c r="A330">
        <v>329</v>
      </c>
      <c r="B330" t="s">
        <v>372</v>
      </c>
      <c r="C330" t="s">
        <v>409</v>
      </c>
      <c r="D330">
        <v>16700</v>
      </c>
      <c r="E330" t="s">
        <v>23</v>
      </c>
      <c r="F330" t="s">
        <v>9</v>
      </c>
    </row>
    <row r="331" spans="1:6" x14ac:dyDescent="0.25">
      <c r="A331">
        <v>330</v>
      </c>
      <c r="B331" t="s">
        <v>279</v>
      </c>
      <c r="C331" t="s">
        <v>410</v>
      </c>
      <c r="D331">
        <v>84600</v>
      </c>
      <c r="E331" t="s">
        <v>23</v>
      </c>
      <c r="F331" t="s">
        <v>20</v>
      </c>
    </row>
    <row r="332" spans="1:6" x14ac:dyDescent="0.25">
      <c r="A332">
        <v>331</v>
      </c>
      <c r="B332" t="s">
        <v>418</v>
      </c>
      <c r="C332" t="s">
        <v>411</v>
      </c>
      <c r="D332">
        <v>12400</v>
      </c>
      <c r="E332" t="s">
        <v>23</v>
      </c>
      <c r="F332" t="s">
        <v>9</v>
      </c>
    </row>
    <row r="333" spans="1:6" x14ac:dyDescent="0.25">
      <c r="A333">
        <v>332</v>
      </c>
      <c r="B333" t="s">
        <v>108</v>
      </c>
      <c r="C333" t="s">
        <v>412</v>
      </c>
      <c r="D333">
        <v>29600</v>
      </c>
      <c r="E333" t="s">
        <v>8</v>
      </c>
      <c r="F333" t="s">
        <v>9</v>
      </c>
    </row>
    <row r="334" spans="1:6" x14ac:dyDescent="0.25">
      <c r="A334">
        <v>333</v>
      </c>
      <c r="B334" t="s">
        <v>162</v>
      </c>
      <c r="C334" t="s">
        <v>413</v>
      </c>
      <c r="D334">
        <v>83100</v>
      </c>
      <c r="E334" t="s">
        <v>8</v>
      </c>
      <c r="F334" t="s">
        <v>9</v>
      </c>
    </row>
    <row r="335" spans="1:6" x14ac:dyDescent="0.25">
      <c r="A335">
        <v>334</v>
      </c>
      <c r="B335" t="s">
        <v>247</v>
      </c>
      <c r="C335" t="s">
        <v>414</v>
      </c>
      <c r="D335">
        <v>38700</v>
      </c>
      <c r="E335" t="s">
        <v>23</v>
      </c>
      <c r="F335" t="s">
        <v>9</v>
      </c>
    </row>
    <row r="336" spans="1:6" x14ac:dyDescent="0.25">
      <c r="A336">
        <v>335</v>
      </c>
      <c r="B336" t="s">
        <v>114</v>
      </c>
      <c r="C336" t="s">
        <v>415</v>
      </c>
      <c r="D336">
        <v>38900</v>
      </c>
      <c r="E336" t="s">
        <v>8</v>
      </c>
      <c r="F336" t="s">
        <v>9</v>
      </c>
    </row>
    <row r="337" spans="1:6" x14ac:dyDescent="0.25">
      <c r="A337">
        <v>336</v>
      </c>
      <c r="B337" t="s">
        <v>142</v>
      </c>
      <c r="C337" t="s">
        <v>416</v>
      </c>
      <c r="D337">
        <v>53000</v>
      </c>
      <c r="E337" t="s">
        <v>8</v>
      </c>
      <c r="F337" t="s">
        <v>9</v>
      </c>
    </row>
    <row r="338" spans="1:6" x14ac:dyDescent="0.25">
      <c r="A338">
        <v>337</v>
      </c>
      <c r="B338" t="s">
        <v>166</v>
      </c>
      <c r="C338" t="s">
        <v>405</v>
      </c>
      <c r="D338">
        <v>61900</v>
      </c>
      <c r="E338" t="s">
        <v>8</v>
      </c>
      <c r="F338" t="s">
        <v>9</v>
      </c>
    </row>
    <row r="339" spans="1:6" x14ac:dyDescent="0.25">
      <c r="A339">
        <v>338</v>
      </c>
      <c r="B339" t="s">
        <v>271</v>
      </c>
      <c r="C339" t="s">
        <v>406</v>
      </c>
      <c r="D339">
        <v>19400</v>
      </c>
      <c r="E339" t="s">
        <v>8</v>
      </c>
      <c r="F339" t="s">
        <v>9</v>
      </c>
    </row>
    <row r="340" spans="1:6" x14ac:dyDescent="0.25">
      <c r="A340">
        <v>339</v>
      </c>
      <c r="B340" t="s">
        <v>368</v>
      </c>
      <c r="C340" t="s">
        <v>407</v>
      </c>
      <c r="D340">
        <v>15700</v>
      </c>
      <c r="E340" t="s">
        <v>38</v>
      </c>
      <c r="F340" t="s">
        <v>20</v>
      </c>
    </row>
    <row r="341" spans="1:6" x14ac:dyDescent="0.25">
      <c r="A341">
        <v>340</v>
      </c>
      <c r="B341" t="s">
        <v>400</v>
      </c>
      <c r="C341" t="s">
        <v>408</v>
      </c>
      <c r="D341">
        <v>5700</v>
      </c>
      <c r="E341" t="s">
        <v>23</v>
      </c>
      <c r="F341" t="s">
        <v>9</v>
      </c>
    </row>
    <row r="342" spans="1:6" x14ac:dyDescent="0.25">
      <c r="A342">
        <v>341</v>
      </c>
      <c r="B342" t="s">
        <v>168</v>
      </c>
      <c r="C342" t="s">
        <v>409</v>
      </c>
      <c r="D342">
        <v>40100</v>
      </c>
      <c r="E342" t="s">
        <v>8</v>
      </c>
      <c r="F342" t="s">
        <v>9</v>
      </c>
    </row>
    <row r="343" spans="1:6" x14ac:dyDescent="0.25">
      <c r="A343">
        <v>342</v>
      </c>
      <c r="B343" t="s">
        <v>307</v>
      </c>
      <c r="C343" t="s">
        <v>410</v>
      </c>
      <c r="D343">
        <v>104400</v>
      </c>
      <c r="E343" t="s">
        <v>38</v>
      </c>
      <c r="F343" t="s">
        <v>20</v>
      </c>
    </row>
    <row r="344" spans="1:6" x14ac:dyDescent="0.25">
      <c r="A344">
        <v>343</v>
      </c>
      <c r="B344" t="s">
        <v>268</v>
      </c>
      <c r="C344" t="s">
        <v>411</v>
      </c>
      <c r="D344">
        <v>52700</v>
      </c>
      <c r="E344" t="s">
        <v>8</v>
      </c>
      <c r="F344" t="s">
        <v>9</v>
      </c>
    </row>
    <row r="345" spans="1:6" x14ac:dyDescent="0.25">
      <c r="A345">
        <v>344</v>
      </c>
      <c r="B345" t="s">
        <v>394</v>
      </c>
      <c r="C345" t="s">
        <v>412</v>
      </c>
      <c r="D345">
        <v>5300</v>
      </c>
      <c r="E345" t="s">
        <v>38</v>
      </c>
      <c r="F345" t="s">
        <v>20</v>
      </c>
    </row>
    <row r="346" spans="1:6" x14ac:dyDescent="0.25">
      <c r="A346">
        <v>345</v>
      </c>
      <c r="B346" t="s">
        <v>175</v>
      </c>
      <c r="C346" t="s">
        <v>413</v>
      </c>
      <c r="D346">
        <v>21500</v>
      </c>
      <c r="E346" t="s">
        <v>38</v>
      </c>
      <c r="F346" t="s">
        <v>20</v>
      </c>
    </row>
    <row r="347" spans="1:6" x14ac:dyDescent="0.25">
      <c r="A347">
        <v>346</v>
      </c>
      <c r="B347" t="s">
        <v>397</v>
      </c>
      <c r="C347" t="s">
        <v>414</v>
      </c>
      <c r="D347">
        <v>161200</v>
      </c>
      <c r="E347" t="s">
        <v>38</v>
      </c>
      <c r="F347" t="s">
        <v>20</v>
      </c>
    </row>
    <row r="348" spans="1:6" x14ac:dyDescent="0.25">
      <c r="A348">
        <v>347</v>
      </c>
      <c r="B348" t="s">
        <v>126</v>
      </c>
      <c r="C348" t="s">
        <v>415</v>
      </c>
      <c r="D348">
        <v>38400</v>
      </c>
      <c r="E348" t="s">
        <v>8</v>
      </c>
      <c r="F348" t="s">
        <v>9</v>
      </c>
    </row>
    <row r="349" spans="1:6" x14ac:dyDescent="0.25">
      <c r="A349">
        <v>348</v>
      </c>
      <c r="B349" t="s">
        <v>250</v>
      </c>
      <c r="C349" t="s">
        <v>416</v>
      </c>
      <c r="D349">
        <v>32300</v>
      </c>
      <c r="E349" t="s">
        <v>8</v>
      </c>
      <c r="F349" t="s">
        <v>9</v>
      </c>
    </row>
    <row r="350" spans="1:6" x14ac:dyDescent="0.25">
      <c r="A350">
        <v>349</v>
      </c>
      <c r="B350" t="s">
        <v>126</v>
      </c>
      <c r="C350" t="s">
        <v>405</v>
      </c>
      <c r="D350">
        <v>40600</v>
      </c>
      <c r="E350" t="s">
        <v>8</v>
      </c>
      <c r="F350" t="s">
        <v>9</v>
      </c>
    </row>
    <row r="351" spans="1:6" x14ac:dyDescent="0.25">
      <c r="A351">
        <v>350</v>
      </c>
      <c r="B351" t="s">
        <v>372</v>
      </c>
      <c r="C351" t="s">
        <v>406</v>
      </c>
      <c r="D351">
        <v>8900</v>
      </c>
      <c r="E351" t="s">
        <v>8</v>
      </c>
      <c r="F351" t="s">
        <v>9</v>
      </c>
    </row>
    <row r="352" spans="1:6" x14ac:dyDescent="0.25">
      <c r="A352">
        <v>351</v>
      </c>
      <c r="B352" t="s">
        <v>249</v>
      </c>
      <c r="C352" t="s">
        <v>407</v>
      </c>
      <c r="D352">
        <v>113100</v>
      </c>
      <c r="E352" t="s">
        <v>38</v>
      </c>
      <c r="F352" t="s">
        <v>20</v>
      </c>
    </row>
    <row r="353" spans="1:6" x14ac:dyDescent="0.25">
      <c r="A353">
        <v>352</v>
      </c>
      <c r="B353" t="s">
        <v>151</v>
      </c>
      <c r="C353" t="s">
        <v>408</v>
      </c>
      <c r="D353">
        <v>14600</v>
      </c>
      <c r="E353" t="s">
        <v>8</v>
      </c>
      <c r="F353" t="s">
        <v>9</v>
      </c>
    </row>
    <row r="354" spans="1:6" x14ac:dyDescent="0.25">
      <c r="A354">
        <v>353</v>
      </c>
      <c r="B354" t="s">
        <v>113</v>
      </c>
      <c r="C354" t="s">
        <v>409</v>
      </c>
      <c r="D354">
        <v>22600</v>
      </c>
      <c r="E354" t="s">
        <v>8</v>
      </c>
      <c r="F354" t="s">
        <v>20</v>
      </c>
    </row>
    <row r="355" spans="1:6" x14ac:dyDescent="0.25">
      <c r="A355">
        <v>354</v>
      </c>
      <c r="B355" t="s">
        <v>369</v>
      </c>
      <c r="C355" t="s">
        <v>410</v>
      </c>
      <c r="D355">
        <v>257400</v>
      </c>
      <c r="E355" t="s">
        <v>23</v>
      </c>
      <c r="F355" t="s">
        <v>9</v>
      </c>
    </row>
    <row r="356" spans="1:6" x14ac:dyDescent="0.25">
      <c r="A356">
        <v>355</v>
      </c>
      <c r="B356" t="s">
        <v>350</v>
      </c>
      <c r="C356" t="s">
        <v>411</v>
      </c>
      <c r="D356">
        <v>81600</v>
      </c>
      <c r="E356" t="s">
        <v>38</v>
      </c>
      <c r="F356" t="s">
        <v>20</v>
      </c>
    </row>
    <row r="357" spans="1:6" x14ac:dyDescent="0.25">
      <c r="A357">
        <v>356</v>
      </c>
      <c r="B357" t="s">
        <v>206</v>
      </c>
      <c r="C357" t="s">
        <v>412</v>
      </c>
      <c r="D357">
        <v>62600</v>
      </c>
      <c r="E357" t="s">
        <v>38</v>
      </c>
      <c r="F357" t="s">
        <v>9</v>
      </c>
    </row>
    <row r="358" spans="1:6" x14ac:dyDescent="0.25">
      <c r="A358">
        <v>357</v>
      </c>
      <c r="B358" t="s">
        <v>72</v>
      </c>
      <c r="C358" t="s">
        <v>413</v>
      </c>
      <c r="D358">
        <v>17800</v>
      </c>
      <c r="E358" t="s">
        <v>23</v>
      </c>
      <c r="F358" t="s">
        <v>9</v>
      </c>
    </row>
    <row r="359" spans="1:6" x14ac:dyDescent="0.25">
      <c r="A359">
        <v>358</v>
      </c>
      <c r="B359" t="s">
        <v>230</v>
      </c>
      <c r="C359" t="s">
        <v>414</v>
      </c>
      <c r="D359">
        <v>139300</v>
      </c>
      <c r="E359" t="s">
        <v>8</v>
      </c>
      <c r="F359" t="s">
        <v>20</v>
      </c>
    </row>
    <row r="360" spans="1:6" x14ac:dyDescent="0.25">
      <c r="A360">
        <v>359</v>
      </c>
      <c r="B360" t="s">
        <v>63</v>
      </c>
      <c r="C360" t="s">
        <v>415</v>
      </c>
      <c r="D360">
        <v>37600</v>
      </c>
      <c r="E360" t="s">
        <v>8</v>
      </c>
      <c r="F360" t="s">
        <v>20</v>
      </c>
    </row>
    <row r="361" spans="1:6" x14ac:dyDescent="0.25">
      <c r="A361">
        <v>360</v>
      </c>
      <c r="B361" t="s">
        <v>270</v>
      </c>
      <c r="C361" t="s">
        <v>416</v>
      </c>
      <c r="D361">
        <v>85600</v>
      </c>
      <c r="E361" t="s">
        <v>8</v>
      </c>
      <c r="F361" t="s">
        <v>9</v>
      </c>
    </row>
    <row r="362" spans="1:6" x14ac:dyDescent="0.25">
      <c r="A362">
        <v>361</v>
      </c>
      <c r="B362" t="s">
        <v>34</v>
      </c>
      <c r="C362" t="s">
        <v>405</v>
      </c>
      <c r="D362">
        <v>22800</v>
      </c>
      <c r="E362" t="s">
        <v>38</v>
      </c>
      <c r="F362" t="s">
        <v>9</v>
      </c>
    </row>
    <row r="363" spans="1:6" x14ac:dyDescent="0.25">
      <c r="A363">
        <v>362</v>
      </c>
      <c r="B363" t="s">
        <v>159</v>
      </c>
      <c r="C363" t="s">
        <v>406</v>
      </c>
      <c r="D363">
        <v>27100</v>
      </c>
      <c r="E363" t="s">
        <v>23</v>
      </c>
      <c r="F363" t="s">
        <v>9</v>
      </c>
    </row>
    <row r="364" spans="1:6" x14ac:dyDescent="0.25">
      <c r="A364">
        <v>363</v>
      </c>
      <c r="B364" t="s">
        <v>357</v>
      </c>
      <c r="C364" t="s">
        <v>407</v>
      </c>
      <c r="D364">
        <v>31000</v>
      </c>
      <c r="E364" t="s">
        <v>38</v>
      </c>
      <c r="F364" t="s">
        <v>20</v>
      </c>
    </row>
    <row r="365" spans="1:6" x14ac:dyDescent="0.25">
      <c r="A365">
        <v>364</v>
      </c>
      <c r="B365" t="s">
        <v>262</v>
      </c>
      <c r="C365" t="s">
        <v>408</v>
      </c>
      <c r="D365">
        <v>56000</v>
      </c>
      <c r="E365" t="s">
        <v>38</v>
      </c>
      <c r="F365" t="s">
        <v>9</v>
      </c>
    </row>
    <row r="366" spans="1:6" x14ac:dyDescent="0.25">
      <c r="A366">
        <v>365</v>
      </c>
      <c r="B366" t="s">
        <v>419</v>
      </c>
      <c r="C366" t="s">
        <v>409</v>
      </c>
      <c r="D366">
        <v>8000</v>
      </c>
      <c r="E366" t="s">
        <v>23</v>
      </c>
      <c r="F366" t="s">
        <v>9</v>
      </c>
    </row>
    <row r="367" spans="1:6" x14ac:dyDescent="0.25">
      <c r="A367">
        <v>366</v>
      </c>
      <c r="B367" t="s">
        <v>214</v>
      </c>
      <c r="C367" t="s">
        <v>410</v>
      </c>
      <c r="D367">
        <v>53700</v>
      </c>
      <c r="E367" t="s">
        <v>23</v>
      </c>
      <c r="F367" t="s">
        <v>9</v>
      </c>
    </row>
    <row r="368" spans="1:6" x14ac:dyDescent="0.25">
      <c r="A368">
        <v>367</v>
      </c>
      <c r="B368" t="s">
        <v>267</v>
      </c>
      <c r="C368" t="s">
        <v>411</v>
      </c>
      <c r="D368">
        <v>68100</v>
      </c>
      <c r="E368" t="s">
        <v>38</v>
      </c>
      <c r="F368" t="s">
        <v>20</v>
      </c>
    </row>
    <row r="369" spans="1:6" x14ac:dyDescent="0.25">
      <c r="A369">
        <v>368</v>
      </c>
      <c r="B369" t="s">
        <v>125</v>
      </c>
      <c r="C369" t="s">
        <v>412</v>
      </c>
      <c r="D369">
        <v>11000</v>
      </c>
      <c r="E369" t="s">
        <v>8</v>
      </c>
      <c r="F369" t="s">
        <v>9</v>
      </c>
    </row>
    <row r="370" spans="1:6" x14ac:dyDescent="0.25">
      <c r="A370">
        <v>369</v>
      </c>
      <c r="B370" t="s">
        <v>352</v>
      </c>
      <c r="C370" t="s">
        <v>413</v>
      </c>
      <c r="D370">
        <v>118500</v>
      </c>
      <c r="E370" t="s">
        <v>38</v>
      </c>
      <c r="F370" t="s">
        <v>9</v>
      </c>
    </row>
    <row r="371" spans="1:6" x14ac:dyDescent="0.25">
      <c r="A371">
        <v>370</v>
      </c>
      <c r="B371" t="s">
        <v>12</v>
      </c>
      <c r="C371" t="s">
        <v>414</v>
      </c>
      <c r="D371">
        <v>33400</v>
      </c>
      <c r="E371" t="s">
        <v>23</v>
      </c>
      <c r="F371" t="s">
        <v>9</v>
      </c>
    </row>
    <row r="372" spans="1:6" x14ac:dyDescent="0.25">
      <c r="A372">
        <v>371</v>
      </c>
      <c r="B372" t="s">
        <v>288</v>
      </c>
      <c r="C372" t="s">
        <v>415</v>
      </c>
      <c r="D372">
        <v>73100</v>
      </c>
      <c r="E372" t="s">
        <v>23</v>
      </c>
      <c r="F372" t="s">
        <v>9</v>
      </c>
    </row>
    <row r="373" spans="1:6" x14ac:dyDescent="0.25">
      <c r="A373">
        <v>372</v>
      </c>
      <c r="B373" t="s">
        <v>185</v>
      </c>
      <c r="C373" t="s">
        <v>416</v>
      </c>
      <c r="D373">
        <v>55700</v>
      </c>
      <c r="E373" t="s">
        <v>8</v>
      </c>
      <c r="F373" t="s">
        <v>20</v>
      </c>
    </row>
    <row r="374" spans="1:6" x14ac:dyDescent="0.25">
      <c r="A374">
        <v>373</v>
      </c>
      <c r="B374" t="s">
        <v>94</v>
      </c>
      <c r="C374" t="s">
        <v>405</v>
      </c>
      <c r="D374">
        <v>16500</v>
      </c>
      <c r="E374" t="s">
        <v>8</v>
      </c>
      <c r="F374" t="s">
        <v>9</v>
      </c>
    </row>
    <row r="375" spans="1:6" x14ac:dyDescent="0.25">
      <c r="A375">
        <v>374</v>
      </c>
      <c r="B375" t="s">
        <v>99</v>
      </c>
      <c r="C375" t="s">
        <v>406</v>
      </c>
      <c r="D375">
        <v>328000</v>
      </c>
      <c r="E375" t="s">
        <v>23</v>
      </c>
      <c r="F375" t="s">
        <v>9</v>
      </c>
    </row>
    <row r="376" spans="1:6" x14ac:dyDescent="0.25">
      <c r="A376">
        <v>375</v>
      </c>
      <c r="B376" t="s">
        <v>320</v>
      </c>
      <c r="C376" t="s">
        <v>407</v>
      </c>
      <c r="D376">
        <v>65300</v>
      </c>
      <c r="E376" t="s">
        <v>8</v>
      </c>
      <c r="F376" t="s">
        <v>9</v>
      </c>
    </row>
    <row r="377" spans="1:6" x14ac:dyDescent="0.25">
      <c r="A377">
        <v>376</v>
      </c>
      <c r="B377" t="s">
        <v>338</v>
      </c>
      <c r="C377" t="s">
        <v>408</v>
      </c>
      <c r="D377">
        <v>38900</v>
      </c>
      <c r="E377" t="s">
        <v>38</v>
      </c>
      <c r="F377" t="s">
        <v>20</v>
      </c>
    </row>
    <row r="378" spans="1:6" x14ac:dyDescent="0.25">
      <c r="A378">
        <v>377</v>
      </c>
      <c r="B378" t="s">
        <v>280</v>
      </c>
      <c r="C378" t="s">
        <v>409</v>
      </c>
      <c r="D378">
        <v>43900</v>
      </c>
      <c r="E378" t="s">
        <v>38</v>
      </c>
      <c r="F378" t="s">
        <v>20</v>
      </c>
    </row>
    <row r="379" spans="1:6" x14ac:dyDescent="0.25">
      <c r="A379">
        <v>378</v>
      </c>
      <c r="B379" t="s">
        <v>112</v>
      </c>
      <c r="C379" t="s">
        <v>410</v>
      </c>
      <c r="D379">
        <v>10500</v>
      </c>
      <c r="E379" t="s">
        <v>38</v>
      </c>
      <c r="F379" t="s">
        <v>9</v>
      </c>
    </row>
    <row r="380" spans="1:6" x14ac:dyDescent="0.25">
      <c r="A380">
        <v>379</v>
      </c>
      <c r="B380" t="s">
        <v>148</v>
      </c>
      <c r="C380" t="s">
        <v>411</v>
      </c>
      <c r="D380">
        <v>51000</v>
      </c>
      <c r="E380" t="s">
        <v>8</v>
      </c>
      <c r="F380" t="s">
        <v>9</v>
      </c>
    </row>
    <row r="381" spans="1:6" x14ac:dyDescent="0.25">
      <c r="A381">
        <v>380</v>
      </c>
      <c r="B381" t="s">
        <v>279</v>
      </c>
      <c r="C381" t="s">
        <v>412</v>
      </c>
      <c r="D381">
        <v>42200</v>
      </c>
      <c r="E381" t="s">
        <v>38</v>
      </c>
      <c r="F381" t="s">
        <v>20</v>
      </c>
    </row>
    <row r="382" spans="1:6" x14ac:dyDescent="0.25">
      <c r="A382">
        <v>381</v>
      </c>
      <c r="B382" t="s">
        <v>336</v>
      </c>
      <c r="C382" t="s">
        <v>413</v>
      </c>
      <c r="D382">
        <v>15800</v>
      </c>
      <c r="E382" t="s">
        <v>38</v>
      </c>
      <c r="F382" t="s">
        <v>20</v>
      </c>
    </row>
    <row r="383" spans="1:6" x14ac:dyDescent="0.25">
      <c r="A383">
        <v>382</v>
      </c>
      <c r="B383" t="s">
        <v>185</v>
      </c>
      <c r="C383" t="s">
        <v>414</v>
      </c>
      <c r="D383">
        <v>37000</v>
      </c>
      <c r="E383" t="s">
        <v>23</v>
      </c>
      <c r="F383" t="s">
        <v>9</v>
      </c>
    </row>
    <row r="384" spans="1:6" x14ac:dyDescent="0.25">
      <c r="A384">
        <v>383</v>
      </c>
      <c r="B384" t="s">
        <v>16</v>
      </c>
      <c r="C384" t="s">
        <v>415</v>
      </c>
      <c r="D384">
        <v>31500</v>
      </c>
      <c r="E384" t="s">
        <v>38</v>
      </c>
      <c r="F384" t="s">
        <v>20</v>
      </c>
    </row>
    <row r="385" spans="1:6" x14ac:dyDescent="0.25">
      <c r="A385">
        <v>384</v>
      </c>
      <c r="B385" t="s">
        <v>274</v>
      </c>
      <c r="C385" t="s">
        <v>416</v>
      </c>
      <c r="D385">
        <v>81300</v>
      </c>
      <c r="E385" t="s">
        <v>8</v>
      </c>
      <c r="F385" t="s">
        <v>20</v>
      </c>
    </row>
    <row r="386" spans="1:6" x14ac:dyDescent="0.25">
      <c r="A386">
        <v>385</v>
      </c>
      <c r="B386" t="s">
        <v>156</v>
      </c>
      <c r="C386" t="s">
        <v>405</v>
      </c>
      <c r="D386">
        <v>14000</v>
      </c>
      <c r="E386" t="s">
        <v>8</v>
      </c>
      <c r="F386" t="s">
        <v>9</v>
      </c>
    </row>
    <row r="387" spans="1:6" x14ac:dyDescent="0.25">
      <c r="A387">
        <v>386</v>
      </c>
      <c r="B387" t="s">
        <v>117</v>
      </c>
      <c r="C387" t="s">
        <v>406</v>
      </c>
      <c r="D387">
        <v>214900</v>
      </c>
      <c r="E387" t="s">
        <v>23</v>
      </c>
      <c r="F387" t="s">
        <v>20</v>
      </c>
    </row>
    <row r="388" spans="1:6" x14ac:dyDescent="0.25">
      <c r="A388">
        <v>387</v>
      </c>
      <c r="B388" t="s">
        <v>207</v>
      </c>
      <c r="C388" t="s">
        <v>411</v>
      </c>
      <c r="D388">
        <v>0</v>
      </c>
      <c r="E388" t="s">
        <v>38</v>
      </c>
      <c r="F388" t="s">
        <v>20</v>
      </c>
    </row>
    <row r="389" spans="1:6" x14ac:dyDescent="0.25">
      <c r="A389">
        <v>388</v>
      </c>
      <c r="B389" t="s">
        <v>419</v>
      </c>
      <c r="C389" t="s">
        <v>408</v>
      </c>
      <c r="D389">
        <v>43300</v>
      </c>
      <c r="E389" t="s">
        <v>23</v>
      </c>
      <c r="F389" t="s">
        <v>9</v>
      </c>
    </row>
    <row r="390" spans="1:6" x14ac:dyDescent="0.25">
      <c r="A390">
        <v>389</v>
      </c>
      <c r="B390" t="s">
        <v>421</v>
      </c>
      <c r="C390" t="s">
        <v>409</v>
      </c>
      <c r="D390">
        <v>90100</v>
      </c>
      <c r="E390" t="s">
        <v>8</v>
      </c>
      <c r="F390" t="s">
        <v>20</v>
      </c>
    </row>
    <row r="391" spans="1:6" x14ac:dyDescent="0.25">
      <c r="A391">
        <v>390</v>
      </c>
      <c r="B391" t="s">
        <v>105</v>
      </c>
      <c r="C391" t="s">
        <v>410</v>
      </c>
      <c r="D391">
        <v>106400</v>
      </c>
      <c r="E391" t="s">
        <v>38</v>
      </c>
      <c r="F391" t="s">
        <v>20</v>
      </c>
    </row>
    <row r="392" spans="1:6" x14ac:dyDescent="0.25">
      <c r="A392">
        <v>391</v>
      </c>
      <c r="B392" t="s">
        <v>238</v>
      </c>
      <c r="C392" t="s">
        <v>411</v>
      </c>
      <c r="D392">
        <v>15400</v>
      </c>
      <c r="E392" t="s">
        <v>8</v>
      </c>
      <c r="F392" t="s">
        <v>9</v>
      </c>
    </row>
    <row r="393" spans="1:6" x14ac:dyDescent="0.25">
      <c r="A393">
        <v>392</v>
      </c>
      <c r="B393" t="s">
        <v>26</v>
      </c>
      <c r="C393" t="s">
        <v>412</v>
      </c>
      <c r="D393">
        <v>158500</v>
      </c>
      <c r="E393" t="s">
        <v>8</v>
      </c>
      <c r="F393" t="s">
        <v>20</v>
      </c>
    </row>
    <row r="394" spans="1:6" x14ac:dyDescent="0.25">
      <c r="A394">
        <v>393</v>
      </c>
      <c r="B394" t="s">
        <v>333</v>
      </c>
      <c r="C394" t="s">
        <v>413</v>
      </c>
      <c r="D394">
        <v>111200</v>
      </c>
      <c r="E394" t="s">
        <v>38</v>
      </c>
      <c r="F394" t="s">
        <v>20</v>
      </c>
    </row>
    <row r="395" spans="1:6" x14ac:dyDescent="0.25">
      <c r="A395">
        <v>394</v>
      </c>
      <c r="B395" t="s">
        <v>50</v>
      </c>
      <c r="C395" t="s">
        <v>414</v>
      </c>
      <c r="D395">
        <v>5000</v>
      </c>
      <c r="E395" t="s">
        <v>8</v>
      </c>
      <c r="F395" t="s">
        <v>20</v>
      </c>
    </row>
    <row r="396" spans="1:6" x14ac:dyDescent="0.25">
      <c r="A396">
        <v>395</v>
      </c>
      <c r="B396" t="s">
        <v>174</v>
      </c>
      <c r="C396" t="s">
        <v>415</v>
      </c>
      <c r="D396">
        <v>58700</v>
      </c>
      <c r="E396" t="s">
        <v>8</v>
      </c>
      <c r="F396" t="s">
        <v>9</v>
      </c>
    </row>
    <row r="397" spans="1:6" x14ac:dyDescent="0.25">
      <c r="A397">
        <v>396</v>
      </c>
      <c r="B397" t="s">
        <v>50</v>
      </c>
      <c r="C397" t="s">
        <v>416</v>
      </c>
      <c r="D397">
        <v>35700</v>
      </c>
      <c r="E397" t="s">
        <v>23</v>
      </c>
      <c r="F397" t="s">
        <v>9</v>
      </c>
    </row>
    <row r="398" spans="1:6" x14ac:dyDescent="0.25">
      <c r="A398">
        <v>397</v>
      </c>
      <c r="B398" t="s">
        <v>271</v>
      </c>
      <c r="C398" t="s">
        <v>405</v>
      </c>
      <c r="D398">
        <v>60600</v>
      </c>
      <c r="E398" t="s">
        <v>38</v>
      </c>
      <c r="F398" t="s">
        <v>20</v>
      </c>
    </row>
    <row r="399" spans="1:6" x14ac:dyDescent="0.25">
      <c r="A399">
        <v>398</v>
      </c>
      <c r="B399" t="s">
        <v>242</v>
      </c>
      <c r="C399" t="s">
        <v>406</v>
      </c>
      <c r="D399">
        <v>47000</v>
      </c>
      <c r="E399" t="s">
        <v>38</v>
      </c>
      <c r="F399" t="s">
        <v>20</v>
      </c>
    </row>
    <row r="400" spans="1:6" x14ac:dyDescent="0.25">
      <c r="A400">
        <v>399</v>
      </c>
      <c r="B400" t="s">
        <v>321</v>
      </c>
      <c r="C400" t="s">
        <v>407</v>
      </c>
      <c r="D400">
        <v>122800</v>
      </c>
      <c r="E400" t="s">
        <v>23</v>
      </c>
      <c r="F400" t="s">
        <v>9</v>
      </c>
    </row>
    <row r="401" spans="1:6" x14ac:dyDescent="0.25">
      <c r="A401">
        <v>400</v>
      </c>
      <c r="B401" t="s">
        <v>171</v>
      </c>
      <c r="C401" t="s">
        <v>408</v>
      </c>
      <c r="D401">
        <v>68900</v>
      </c>
      <c r="E401" t="s">
        <v>38</v>
      </c>
      <c r="F401" t="s">
        <v>20</v>
      </c>
    </row>
    <row r="402" spans="1:6" x14ac:dyDescent="0.25">
      <c r="A402">
        <v>401</v>
      </c>
      <c r="B402" t="s">
        <v>350</v>
      </c>
      <c r="C402" t="s">
        <v>409</v>
      </c>
      <c r="D402">
        <v>41900</v>
      </c>
      <c r="E402" t="s">
        <v>23</v>
      </c>
      <c r="F402" t="s">
        <v>20</v>
      </c>
    </row>
    <row r="403" spans="1:6" x14ac:dyDescent="0.25">
      <c r="A403">
        <v>402</v>
      </c>
      <c r="B403" t="s">
        <v>58</v>
      </c>
      <c r="C403" t="s">
        <v>410</v>
      </c>
      <c r="D403">
        <v>26600</v>
      </c>
      <c r="E403" t="s">
        <v>38</v>
      </c>
      <c r="F403" t="s">
        <v>20</v>
      </c>
    </row>
    <row r="404" spans="1:6" x14ac:dyDescent="0.25">
      <c r="A404">
        <v>403</v>
      </c>
      <c r="B404" t="s">
        <v>256</v>
      </c>
      <c r="C404" t="s">
        <v>411</v>
      </c>
      <c r="D404">
        <v>16100</v>
      </c>
      <c r="E404" t="s">
        <v>8</v>
      </c>
      <c r="F404" t="s">
        <v>9</v>
      </c>
    </row>
    <row r="405" spans="1:6" x14ac:dyDescent="0.25">
      <c r="A405">
        <v>404</v>
      </c>
      <c r="B405" t="s">
        <v>47</v>
      </c>
      <c r="C405" t="s">
        <v>412</v>
      </c>
      <c r="D405">
        <v>53100</v>
      </c>
      <c r="E405" t="s">
        <v>8</v>
      </c>
      <c r="F405" t="s">
        <v>20</v>
      </c>
    </row>
    <row r="406" spans="1:6" x14ac:dyDescent="0.25">
      <c r="A406">
        <v>405</v>
      </c>
      <c r="B406" t="s">
        <v>279</v>
      </c>
      <c r="C406" t="s">
        <v>413</v>
      </c>
      <c r="D406">
        <v>30100</v>
      </c>
      <c r="E406" t="s">
        <v>8</v>
      </c>
      <c r="F406" t="s">
        <v>20</v>
      </c>
    </row>
    <row r="407" spans="1:6" x14ac:dyDescent="0.25">
      <c r="A407">
        <v>406</v>
      </c>
      <c r="B407" t="s">
        <v>177</v>
      </c>
      <c r="C407" t="s">
        <v>414</v>
      </c>
      <c r="D407">
        <v>93200</v>
      </c>
      <c r="E407" t="s">
        <v>23</v>
      </c>
      <c r="F407" t="s">
        <v>9</v>
      </c>
    </row>
    <row r="408" spans="1:6" x14ac:dyDescent="0.25">
      <c r="A408">
        <v>407</v>
      </c>
      <c r="B408" t="s">
        <v>58</v>
      </c>
      <c r="C408" t="s">
        <v>415</v>
      </c>
      <c r="D408">
        <v>16900</v>
      </c>
      <c r="E408" t="s">
        <v>8</v>
      </c>
      <c r="F408" t="s">
        <v>9</v>
      </c>
    </row>
    <row r="409" spans="1:6" x14ac:dyDescent="0.25">
      <c r="A409">
        <v>408</v>
      </c>
      <c r="B409" t="s">
        <v>353</v>
      </c>
      <c r="C409" t="s">
        <v>416</v>
      </c>
      <c r="D409">
        <v>18500</v>
      </c>
      <c r="E409" t="s">
        <v>8</v>
      </c>
      <c r="F409" t="s">
        <v>9</v>
      </c>
    </row>
    <row r="410" spans="1:6" x14ac:dyDescent="0.25">
      <c r="A410">
        <v>409</v>
      </c>
      <c r="B410" t="s">
        <v>228</v>
      </c>
      <c r="C410" t="s">
        <v>405</v>
      </c>
      <c r="D410">
        <v>27100</v>
      </c>
      <c r="E410" t="s">
        <v>8</v>
      </c>
      <c r="F410" t="s">
        <v>20</v>
      </c>
    </row>
    <row r="411" spans="1:6" x14ac:dyDescent="0.25">
      <c r="A411">
        <v>410</v>
      </c>
      <c r="B411" t="s">
        <v>333</v>
      </c>
      <c r="C411" t="s">
        <v>406</v>
      </c>
      <c r="D411">
        <v>8200</v>
      </c>
      <c r="E411" t="s">
        <v>38</v>
      </c>
      <c r="F411" t="s">
        <v>20</v>
      </c>
    </row>
    <row r="412" spans="1:6" x14ac:dyDescent="0.25">
      <c r="A412">
        <v>411</v>
      </c>
      <c r="B412" t="s">
        <v>110</v>
      </c>
      <c r="C412" t="s">
        <v>407</v>
      </c>
      <c r="D412">
        <v>131900</v>
      </c>
      <c r="E412" t="s">
        <v>8</v>
      </c>
      <c r="F412" t="s">
        <v>20</v>
      </c>
    </row>
    <row r="413" spans="1:6" x14ac:dyDescent="0.25">
      <c r="A413">
        <v>412</v>
      </c>
      <c r="B413" t="s">
        <v>238</v>
      </c>
      <c r="C413" t="s">
        <v>408</v>
      </c>
      <c r="D413">
        <v>8800</v>
      </c>
      <c r="E413" t="s">
        <v>23</v>
      </c>
      <c r="F413" t="s">
        <v>9</v>
      </c>
    </row>
    <row r="414" spans="1:6" x14ac:dyDescent="0.25">
      <c r="A414">
        <v>413</v>
      </c>
      <c r="B414" t="s">
        <v>248</v>
      </c>
      <c r="C414" t="s">
        <v>409</v>
      </c>
      <c r="D414">
        <v>46000</v>
      </c>
      <c r="E414" t="s">
        <v>23</v>
      </c>
      <c r="F414" t="s">
        <v>9</v>
      </c>
    </row>
    <row r="415" spans="1:6" x14ac:dyDescent="0.25">
      <c r="A415">
        <v>414</v>
      </c>
      <c r="B415" t="s">
        <v>357</v>
      </c>
      <c r="C415" t="s">
        <v>410</v>
      </c>
      <c r="D415">
        <v>84300</v>
      </c>
      <c r="E415" t="s">
        <v>38</v>
      </c>
      <c r="F415" t="s">
        <v>20</v>
      </c>
    </row>
    <row r="416" spans="1:6" x14ac:dyDescent="0.25">
      <c r="A416">
        <v>415</v>
      </c>
      <c r="B416" t="s">
        <v>388</v>
      </c>
      <c r="C416" t="s">
        <v>411</v>
      </c>
      <c r="D416">
        <v>64500</v>
      </c>
      <c r="E416" t="s">
        <v>23</v>
      </c>
      <c r="F416" t="s">
        <v>9</v>
      </c>
    </row>
    <row r="417" spans="1:6" x14ac:dyDescent="0.25">
      <c r="A417">
        <v>416</v>
      </c>
      <c r="B417" t="s">
        <v>67</v>
      </c>
      <c r="C417" t="s">
        <v>412</v>
      </c>
      <c r="D417">
        <v>64400</v>
      </c>
      <c r="E417" t="s">
        <v>8</v>
      </c>
      <c r="F417" t="s">
        <v>9</v>
      </c>
    </row>
    <row r="418" spans="1:6" x14ac:dyDescent="0.25">
      <c r="A418">
        <v>417</v>
      </c>
      <c r="B418" t="s">
        <v>249</v>
      </c>
      <c r="C418" t="s">
        <v>413</v>
      </c>
      <c r="D418">
        <v>18400</v>
      </c>
      <c r="E418" t="s">
        <v>8</v>
      </c>
      <c r="F418" t="s">
        <v>20</v>
      </c>
    </row>
    <row r="419" spans="1:6" x14ac:dyDescent="0.25">
      <c r="A419">
        <v>418</v>
      </c>
      <c r="B419" t="s">
        <v>127</v>
      </c>
      <c r="C419" t="s">
        <v>414</v>
      </c>
      <c r="D419">
        <v>76300</v>
      </c>
      <c r="E419" t="s">
        <v>8</v>
      </c>
      <c r="F419" t="s">
        <v>20</v>
      </c>
    </row>
    <row r="420" spans="1:6" x14ac:dyDescent="0.25">
      <c r="A420">
        <v>419</v>
      </c>
      <c r="B420" t="s">
        <v>404</v>
      </c>
      <c r="C420" t="s">
        <v>415</v>
      </c>
      <c r="D420">
        <v>119100</v>
      </c>
      <c r="E420" t="s">
        <v>8</v>
      </c>
      <c r="F420" t="s">
        <v>20</v>
      </c>
    </row>
    <row r="421" spans="1:6" x14ac:dyDescent="0.25">
      <c r="A421">
        <v>420</v>
      </c>
      <c r="B421" t="s">
        <v>140</v>
      </c>
      <c r="C421" t="s">
        <v>416</v>
      </c>
      <c r="D421">
        <v>17100</v>
      </c>
      <c r="E421" t="s">
        <v>8</v>
      </c>
      <c r="F421" t="s">
        <v>20</v>
      </c>
    </row>
    <row r="422" spans="1:6" x14ac:dyDescent="0.25">
      <c r="A422">
        <v>421</v>
      </c>
      <c r="B422" t="s">
        <v>169</v>
      </c>
      <c r="C422" t="s">
        <v>405</v>
      </c>
      <c r="D422">
        <v>17600</v>
      </c>
      <c r="E422" t="s">
        <v>23</v>
      </c>
      <c r="F422" t="s">
        <v>9</v>
      </c>
    </row>
    <row r="423" spans="1:6" x14ac:dyDescent="0.25">
      <c r="A423">
        <v>422</v>
      </c>
      <c r="B423" t="s">
        <v>45</v>
      </c>
      <c r="C423" t="s">
        <v>406</v>
      </c>
      <c r="D423">
        <v>16100</v>
      </c>
      <c r="E423" t="s">
        <v>8</v>
      </c>
      <c r="F423" t="s">
        <v>9</v>
      </c>
    </row>
    <row r="424" spans="1:6" x14ac:dyDescent="0.25">
      <c r="A424">
        <v>423</v>
      </c>
      <c r="B424" t="s">
        <v>245</v>
      </c>
      <c r="C424" t="s">
        <v>407</v>
      </c>
      <c r="D424">
        <v>5000</v>
      </c>
      <c r="E424" t="s">
        <v>8</v>
      </c>
      <c r="F424" t="s">
        <v>20</v>
      </c>
    </row>
    <row r="425" spans="1:6" x14ac:dyDescent="0.25">
      <c r="A425">
        <v>424</v>
      </c>
      <c r="B425" t="s">
        <v>368</v>
      </c>
      <c r="C425" t="s">
        <v>408</v>
      </c>
      <c r="D425">
        <v>500000</v>
      </c>
      <c r="E425" t="s">
        <v>8</v>
      </c>
      <c r="F425" t="s">
        <v>9</v>
      </c>
    </row>
    <row r="426" spans="1:6" x14ac:dyDescent="0.25">
      <c r="A426">
        <v>425</v>
      </c>
      <c r="B426" t="s">
        <v>18</v>
      </c>
      <c r="C426" t="s">
        <v>409</v>
      </c>
      <c r="D426">
        <v>28600</v>
      </c>
      <c r="E426" t="s">
        <v>8</v>
      </c>
      <c r="F426" t="s">
        <v>9</v>
      </c>
    </row>
    <row r="427" spans="1:6" x14ac:dyDescent="0.25">
      <c r="A427">
        <v>426</v>
      </c>
      <c r="B427" t="s">
        <v>126</v>
      </c>
      <c r="C427" t="s">
        <v>410</v>
      </c>
      <c r="D427">
        <v>122700</v>
      </c>
      <c r="E427" t="s">
        <v>23</v>
      </c>
      <c r="F427" t="s">
        <v>9</v>
      </c>
    </row>
    <row r="428" spans="1:6" x14ac:dyDescent="0.25">
      <c r="A428">
        <v>427</v>
      </c>
      <c r="B428" t="s">
        <v>205</v>
      </c>
      <c r="C428" t="s">
        <v>411</v>
      </c>
      <c r="D428">
        <v>33400</v>
      </c>
      <c r="E428" t="s">
        <v>8</v>
      </c>
      <c r="F428" t="s">
        <v>9</v>
      </c>
    </row>
    <row r="429" spans="1:6" x14ac:dyDescent="0.25">
      <c r="A429">
        <v>428</v>
      </c>
      <c r="B429" t="s">
        <v>240</v>
      </c>
      <c r="C429" t="s">
        <v>412</v>
      </c>
      <c r="D429">
        <v>37400</v>
      </c>
      <c r="E429" t="s">
        <v>38</v>
      </c>
      <c r="F429" t="s">
        <v>9</v>
      </c>
    </row>
    <row r="430" spans="1:6" x14ac:dyDescent="0.25">
      <c r="A430">
        <v>429</v>
      </c>
      <c r="B430" t="s">
        <v>156</v>
      </c>
      <c r="C430" t="s">
        <v>413</v>
      </c>
      <c r="D430">
        <v>25100</v>
      </c>
      <c r="E430" t="s">
        <v>8</v>
      </c>
      <c r="F430" t="s">
        <v>20</v>
      </c>
    </row>
    <row r="431" spans="1:6" x14ac:dyDescent="0.25">
      <c r="A431">
        <v>430</v>
      </c>
      <c r="B431" t="s">
        <v>216</v>
      </c>
      <c r="C431" t="s">
        <v>414</v>
      </c>
      <c r="D431">
        <v>46100</v>
      </c>
      <c r="E431" t="s">
        <v>8</v>
      </c>
      <c r="F431" t="s">
        <v>20</v>
      </c>
    </row>
    <row r="432" spans="1:6" x14ac:dyDescent="0.25">
      <c r="A432">
        <v>431</v>
      </c>
      <c r="B432" t="s">
        <v>83</v>
      </c>
      <c r="C432" t="s">
        <v>415</v>
      </c>
      <c r="D432">
        <v>6200</v>
      </c>
      <c r="E432" t="s">
        <v>8</v>
      </c>
      <c r="F432" t="s">
        <v>9</v>
      </c>
    </row>
    <row r="433" spans="1:6" x14ac:dyDescent="0.25">
      <c r="A433">
        <v>432</v>
      </c>
      <c r="B433" t="s">
        <v>109</v>
      </c>
      <c r="C433" t="s">
        <v>416</v>
      </c>
      <c r="D433">
        <v>15000</v>
      </c>
      <c r="E433" t="s">
        <v>8</v>
      </c>
      <c r="F433" t="s">
        <v>9</v>
      </c>
    </row>
    <row r="434" spans="1:6" x14ac:dyDescent="0.25">
      <c r="A434">
        <v>433</v>
      </c>
      <c r="B434" t="s">
        <v>404</v>
      </c>
      <c r="C434" t="s">
        <v>405</v>
      </c>
      <c r="D434">
        <v>46500</v>
      </c>
      <c r="E434" t="s">
        <v>23</v>
      </c>
      <c r="F434" t="s">
        <v>9</v>
      </c>
    </row>
    <row r="435" spans="1:6" x14ac:dyDescent="0.25">
      <c r="A435">
        <v>434</v>
      </c>
      <c r="B435" t="s">
        <v>203</v>
      </c>
      <c r="C435" t="s">
        <v>406</v>
      </c>
      <c r="D435">
        <v>16900</v>
      </c>
      <c r="E435" t="s">
        <v>8</v>
      </c>
      <c r="F435" t="s">
        <v>9</v>
      </c>
    </row>
    <row r="436" spans="1:6" x14ac:dyDescent="0.25">
      <c r="A436">
        <v>435</v>
      </c>
      <c r="B436" t="s">
        <v>252</v>
      </c>
      <c r="C436" t="s">
        <v>407</v>
      </c>
      <c r="D436">
        <v>5000</v>
      </c>
      <c r="E436" t="s">
        <v>23</v>
      </c>
      <c r="F436" t="s">
        <v>9</v>
      </c>
    </row>
    <row r="437" spans="1:6" x14ac:dyDescent="0.25">
      <c r="A437">
        <v>436</v>
      </c>
      <c r="B437" t="s">
        <v>149</v>
      </c>
      <c r="C437" t="s">
        <v>408</v>
      </c>
      <c r="D437">
        <v>5100</v>
      </c>
      <c r="E437" t="s">
        <v>8</v>
      </c>
      <c r="F437" t="s">
        <v>20</v>
      </c>
    </row>
    <row r="438" spans="1:6" x14ac:dyDescent="0.25">
      <c r="A438">
        <v>437</v>
      </c>
      <c r="B438" t="s">
        <v>52</v>
      </c>
      <c r="C438" t="s">
        <v>409</v>
      </c>
      <c r="D438">
        <v>22100</v>
      </c>
      <c r="E438" t="s">
        <v>8</v>
      </c>
      <c r="F438" t="s">
        <v>9</v>
      </c>
    </row>
    <row r="439" spans="1:6" x14ac:dyDescent="0.25">
      <c r="A439">
        <v>438</v>
      </c>
      <c r="B439" t="s">
        <v>361</v>
      </c>
      <c r="C439" t="s">
        <v>410</v>
      </c>
      <c r="D439">
        <v>15900</v>
      </c>
      <c r="E439" t="s">
        <v>23</v>
      </c>
      <c r="F439" t="s">
        <v>9</v>
      </c>
    </row>
    <row r="440" spans="1:6" x14ac:dyDescent="0.25">
      <c r="A440">
        <v>439</v>
      </c>
      <c r="B440" t="s">
        <v>177</v>
      </c>
      <c r="C440" t="s">
        <v>411</v>
      </c>
      <c r="D440">
        <v>26300</v>
      </c>
      <c r="E440" t="s">
        <v>8</v>
      </c>
      <c r="F440" t="s">
        <v>9</v>
      </c>
    </row>
    <row r="441" spans="1:6" x14ac:dyDescent="0.25">
      <c r="A441">
        <v>440</v>
      </c>
      <c r="B441" t="s">
        <v>118</v>
      </c>
      <c r="C441" t="s">
        <v>412</v>
      </c>
      <c r="D441">
        <v>55700</v>
      </c>
      <c r="E441" t="s">
        <v>23</v>
      </c>
      <c r="F441" t="s">
        <v>9</v>
      </c>
    </row>
    <row r="442" spans="1:6" x14ac:dyDescent="0.25">
      <c r="A442">
        <v>441</v>
      </c>
      <c r="B442" t="s">
        <v>102</v>
      </c>
      <c r="C442" t="s">
        <v>413</v>
      </c>
      <c r="D442">
        <v>38000</v>
      </c>
      <c r="E442" t="s">
        <v>8</v>
      </c>
      <c r="F442" t="s">
        <v>9</v>
      </c>
    </row>
    <row r="443" spans="1:6" x14ac:dyDescent="0.25">
      <c r="A443">
        <v>442</v>
      </c>
      <c r="B443" t="s">
        <v>191</v>
      </c>
      <c r="C443" t="s">
        <v>414</v>
      </c>
      <c r="D443">
        <v>17600</v>
      </c>
      <c r="E443" t="s">
        <v>23</v>
      </c>
      <c r="F443" t="s">
        <v>9</v>
      </c>
    </row>
    <row r="444" spans="1:6" x14ac:dyDescent="0.25">
      <c r="A444">
        <v>443</v>
      </c>
      <c r="B444" t="s">
        <v>175</v>
      </c>
      <c r="C444" t="s">
        <v>415</v>
      </c>
      <c r="D444">
        <v>65300</v>
      </c>
      <c r="E444" t="s">
        <v>38</v>
      </c>
      <c r="F444" t="s">
        <v>20</v>
      </c>
    </row>
    <row r="445" spans="1:6" x14ac:dyDescent="0.25">
      <c r="A445">
        <v>444</v>
      </c>
      <c r="B445" t="s">
        <v>77</v>
      </c>
      <c r="C445" t="s">
        <v>416</v>
      </c>
      <c r="D445">
        <v>24200</v>
      </c>
      <c r="E445" t="s">
        <v>38</v>
      </c>
      <c r="F445" t="s">
        <v>9</v>
      </c>
    </row>
    <row r="446" spans="1:6" x14ac:dyDescent="0.25">
      <c r="A446">
        <v>445</v>
      </c>
      <c r="B446" t="s">
        <v>235</v>
      </c>
      <c r="C446" t="s">
        <v>405</v>
      </c>
      <c r="D446">
        <v>80400</v>
      </c>
      <c r="E446" t="s">
        <v>38</v>
      </c>
      <c r="F446" t="s">
        <v>20</v>
      </c>
    </row>
    <row r="447" spans="1:6" x14ac:dyDescent="0.25">
      <c r="A447">
        <v>446</v>
      </c>
      <c r="B447" t="s">
        <v>245</v>
      </c>
      <c r="C447" t="s">
        <v>406</v>
      </c>
      <c r="D447">
        <v>17300</v>
      </c>
      <c r="E447" t="s">
        <v>8</v>
      </c>
      <c r="F447" t="s">
        <v>9</v>
      </c>
    </row>
    <row r="448" spans="1:6" x14ac:dyDescent="0.25">
      <c r="A448">
        <v>447</v>
      </c>
      <c r="B448" t="s">
        <v>246</v>
      </c>
      <c r="C448" t="s">
        <v>407</v>
      </c>
      <c r="D448">
        <v>42400</v>
      </c>
      <c r="E448" t="s">
        <v>23</v>
      </c>
      <c r="F448" t="s">
        <v>20</v>
      </c>
    </row>
    <row r="449" spans="1:6" x14ac:dyDescent="0.25">
      <c r="A449">
        <v>448</v>
      </c>
      <c r="B449" t="s">
        <v>75</v>
      </c>
      <c r="C449" t="s">
        <v>408</v>
      </c>
      <c r="D449">
        <v>114200</v>
      </c>
      <c r="E449" t="s">
        <v>23</v>
      </c>
      <c r="F449" t="s">
        <v>9</v>
      </c>
    </row>
    <row r="450" spans="1:6" x14ac:dyDescent="0.25">
      <c r="A450">
        <v>449</v>
      </c>
      <c r="B450" t="s">
        <v>325</v>
      </c>
      <c r="C450" t="s">
        <v>409</v>
      </c>
      <c r="D450">
        <v>210900</v>
      </c>
      <c r="E450" t="s">
        <v>8</v>
      </c>
      <c r="F450" t="s">
        <v>9</v>
      </c>
    </row>
    <row r="451" spans="1:6" x14ac:dyDescent="0.25">
      <c r="A451">
        <v>450</v>
      </c>
      <c r="B451" t="s">
        <v>226</v>
      </c>
      <c r="C451" t="s">
        <v>410</v>
      </c>
      <c r="D451">
        <v>79100</v>
      </c>
      <c r="E451" t="s">
        <v>23</v>
      </c>
      <c r="F451" t="s">
        <v>9</v>
      </c>
    </row>
    <row r="452" spans="1:6" x14ac:dyDescent="0.25">
      <c r="A452">
        <v>451</v>
      </c>
      <c r="B452" t="s">
        <v>160</v>
      </c>
      <c r="C452" t="s">
        <v>411</v>
      </c>
      <c r="D452">
        <v>36100</v>
      </c>
      <c r="E452" t="s">
        <v>23</v>
      </c>
      <c r="F452" t="s">
        <v>9</v>
      </c>
    </row>
    <row r="453" spans="1:6" x14ac:dyDescent="0.25">
      <c r="A453">
        <v>452</v>
      </c>
      <c r="B453" t="s">
        <v>257</v>
      </c>
      <c r="C453" t="s">
        <v>412</v>
      </c>
      <c r="D453">
        <v>13100</v>
      </c>
      <c r="E453" t="s">
        <v>23</v>
      </c>
      <c r="F453" t="s">
        <v>9</v>
      </c>
    </row>
    <row r="454" spans="1:6" x14ac:dyDescent="0.25">
      <c r="A454">
        <v>453</v>
      </c>
      <c r="B454" t="s">
        <v>310</v>
      </c>
      <c r="C454" t="s">
        <v>413</v>
      </c>
      <c r="D454">
        <v>14600</v>
      </c>
      <c r="E454" t="s">
        <v>23</v>
      </c>
      <c r="F454" t="s">
        <v>20</v>
      </c>
    </row>
    <row r="455" spans="1:6" x14ac:dyDescent="0.25">
      <c r="A455">
        <v>454</v>
      </c>
      <c r="B455" t="s">
        <v>397</v>
      </c>
      <c r="C455" t="s">
        <v>414</v>
      </c>
      <c r="D455">
        <v>26500</v>
      </c>
      <c r="E455" t="s">
        <v>23</v>
      </c>
      <c r="F455" t="s">
        <v>9</v>
      </c>
    </row>
    <row r="456" spans="1:6" x14ac:dyDescent="0.25">
      <c r="A456">
        <v>455</v>
      </c>
      <c r="B456" t="s">
        <v>84</v>
      </c>
      <c r="C456" t="s">
        <v>415</v>
      </c>
      <c r="D456">
        <v>78700</v>
      </c>
      <c r="E456" t="s">
        <v>38</v>
      </c>
      <c r="F456" t="s">
        <v>20</v>
      </c>
    </row>
    <row r="457" spans="1:6" x14ac:dyDescent="0.25">
      <c r="A457">
        <v>456</v>
      </c>
      <c r="B457" t="s">
        <v>365</v>
      </c>
      <c r="C457" t="s">
        <v>416</v>
      </c>
      <c r="D457">
        <v>36300</v>
      </c>
      <c r="E457" t="s">
        <v>8</v>
      </c>
      <c r="F457" t="s">
        <v>9</v>
      </c>
    </row>
    <row r="458" spans="1:6" x14ac:dyDescent="0.25">
      <c r="A458">
        <v>457</v>
      </c>
      <c r="B458" t="s">
        <v>417</v>
      </c>
      <c r="C458" t="s">
        <v>405</v>
      </c>
      <c r="D458">
        <v>81900</v>
      </c>
      <c r="E458" t="s">
        <v>8</v>
      </c>
      <c r="F458" t="s">
        <v>9</v>
      </c>
    </row>
    <row r="459" spans="1:6" x14ac:dyDescent="0.25">
      <c r="A459">
        <v>458</v>
      </c>
      <c r="B459" t="s">
        <v>144</v>
      </c>
      <c r="C459" t="s">
        <v>406</v>
      </c>
      <c r="D459">
        <v>17100</v>
      </c>
      <c r="E459" t="s">
        <v>23</v>
      </c>
      <c r="F459" t="s">
        <v>9</v>
      </c>
    </row>
    <row r="460" spans="1:6" x14ac:dyDescent="0.25">
      <c r="A460">
        <v>459</v>
      </c>
      <c r="B460" t="s">
        <v>125</v>
      </c>
      <c r="C460" t="s">
        <v>407</v>
      </c>
      <c r="D460">
        <v>131500</v>
      </c>
      <c r="E460" t="s">
        <v>38</v>
      </c>
      <c r="F460" t="s">
        <v>20</v>
      </c>
    </row>
    <row r="461" spans="1:6" x14ac:dyDescent="0.25">
      <c r="A461">
        <v>460</v>
      </c>
      <c r="B461" t="s">
        <v>211</v>
      </c>
      <c r="C461" t="s">
        <v>408</v>
      </c>
      <c r="D461">
        <v>49200</v>
      </c>
      <c r="E461" t="s">
        <v>23</v>
      </c>
      <c r="F461" t="s">
        <v>9</v>
      </c>
    </row>
    <row r="462" spans="1:6" x14ac:dyDescent="0.25">
      <c r="A462">
        <v>461</v>
      </c>
      <c r="B462" t="s">
        <v>230</v>
      </c>
      <c r="C462" t="s">
        <v>409</v>
      </c>
      <c r="D462">
        <v>13000</v>
      </c>
      <c r="E462" t="s">
        <v>8</v>
      </c>
      <c r="F462" t="s">
        <v>9</v>
      </c>
    </row>
    <row r="463" spans="1:6" x14ac:dyDescent="0.25">
      <c r="A463">
        <v>462</v>
      </c>
      <c r="B463" t="s">
        <v>203</v>
      </c>
      <c r="C463" t="s">
        <v>410</v>
      </c>
      <c r="D463">
        <v>11500</v>
      </c>
      <c r="E463" t="s">
        <v>23</v>
      </c>
      <c r="F463" t="s">
        <v>20</v>
      </c>
    </row>
    <row r="464" spans="1:6" x14ac:dyDescent="0.25">
      <c r="A464">
        <v>463</v>
      </c>
      <c r="B464" t="s">
        <v>52</v>
      </c>
      <c r="C464" t="s">
        <v>411</v>
      </c>
      <c r="D464">
        <v>42300</v>
      </c>
      <c r="E464" t="s">
        <v>23</v>
      </c>
      <c r="F464" t="s">
        <v>9</v>
      </c>
    </row>
    <row r="465" spans="1:6" x14ac:dyDescent="0.25">
      <c r="A465">
        <v>464</v>
      </c>
      <c r="B465" t="s">
        <v>326</v>
      </c>
      <c r="C465" t="s">
        <v>412</v>
      </c>
      <c r="D465">
        <v>7800</v>
      </c>
      <c r="E465" t="s">
        <v>23</v>
      </c>
      <c r="F465" t="s">
        <v>9</v>
      </c>
    </row>
    <row r="466" spans="1:6" x14ac:dyDescent="0.25">
      <c r="A466">
        <v>465</v>
      </c>
      <c r="B466" t="s">
        <v>81</v>
      </c>
      <c r="C466" t="s">
        <v>413</v>
      </c>
      <c r="D466">
        <v>44700</v>
      </c>
      <c r="E466" t="s">
        <v>23</v>
      </c>
      <c r="F466" t="s">
        <v>9</v>
      </c>
    </row>
    <row r="467" spans="1:6" x14ac:dyDescent="0.25">
      <c r="A467">
        <v>466</v>
      </c>
      <c r="B467" t="s">
        <v>340</v>
      </c>
      <c r="C467" t="s">
        <v>414</v>
      </c>
      <c r="D467">
        <v>33500</v>
      </c>
      <c r="E467" t="s">
        <v>8</v>
      </c>
      <c r="F467" t="s">
        <v>9</v>
      </c>
    </row>
    <row r="468" spans="1:6" x14ac:dyDescent="0.25">
      <c r="A468">
        <v>467</v>
      </c>
      <c r="B468" t="s">
        <v>51</v>
      </c>
      <c r="C468" t="s">
        <v>415</v>
      </c>
      <c r="D468">
        <v>186000</v>
      </c>
      <c r="E468" t="s">
        <v>8</v>
      </c>
      <c r="F468" t="s">
        <v>9</v>
      </c>
    </row>
    <row r="469" spans="1:6" x14ac:dyDescent="0.25">
      <c r="A469">
        <v>468</v>
      </c>
      <c r="B469" t="s">
        <v>142</v>
      </c>
      <c r="C469" t="s">
        <v>416</v>
      </c>
      <c r="D469">
        <v>27600</v>
      </c>
      <c r="E469" t="s">
        <v>23</v>
      </c>
      <c r="F469" t="s">
        <v>9</v>
      </c>
    </row>
    <row r="470" spans="1:6" x14ac:dyDescent="0.25">
      <c r="A470">
        <v>469</v>
      </c>
      <c r="B470" t="s">
        <v>325</v>
      </c>
      <c r="C470" t="s">
        <v>405</v>
      </c>
      <c r="D470">
        <v>91600</v>
      </c>
      <c r="E470" t="s">
        <v>38</v>
      </c>
      <c r="F470" t="s">
        <v>20</v>
      </c>
    </row>
    <row r="471" spans="1:6" x14ac:dyDescent="0.25">
      <c r="A471">
        <v>470</v>
      </c>
      <c r="B471" t="s">
        <v>159</v>
      </c>
      <c r="C471" t="s">
        <v>406</v>
      </c>
      <c r="D471">
        <v>73200</v>
      </c>
      <c r="E471" t="s">
        <v>8</v>
      </c>
      <c r="F471" t="s">
        <v>20</v>
      </c>
    </row>
    <row r="472" spans="1:6" x14ac:dyDescent="0.25">
      <c r="A472">
        <v>471</v>
      </c>
      <c r="B472" t="s">
        <v>166</v>
      </c>
      <c r="C472" t="s">
        <v>406</v>
      </c>
      <c r="D472">
        <v>480000</v>
      </c>
      <c r="E472" t="s">
        <v>8</v>
      </c>
      <c r="F472" t="s">
        <v>20</v>
      </c>
    </row>
    <row r="473" spans="1:6" x14ac:dyDescent="0.25">
      <c r="A473">
        <v>472</v>
      </c>
      <c r="B473" t="s">
        <v>195</v>
      </c>
      <c r="C473" t="s">
        <v>408</v>
      </c>
      <c r="D473">
        <v>97600</v>
      </c>
      <c r="E473" t="s">
        <v>23</v>
      </c>
      <c r="F473" t="s">
        <v>9</v>
      </c>
    </row>
    <row r="474" spans="1:6" x14ac:dyDescent="0.25">
      <c r="A474">
        <v>473</v>
      </c>
      <c r="B474" t="s">
        <v>127</v>
      </c>
      <c r="C474" t="s">
        <v>409</v>
      </c>
      <c r="D474">
        <v>6600</v>
      </c>
      <c r="E474" t="s">
        <v>23</v>
      </c>
      <c r="F474" t="s">
        <v>9</v>
      </c>
    </row>
    <row r="475" spans="1:6" x14ac:dyDescent="0.25">
      <c r="A475">
        <v>474</v>
      </c>
      <c r="B475" t="s">
        <v>393</v>
      </c>
      <c r="C475" t="s">
        <v>410</v>
      </c>
      <c r="D475">
        <v>19400</v>
      </c>
      <c r="E475" t="s">
        <v>8</v>
      </c>
      <c r="F475" t="s">
        <v>9</v>
      </c>
    </row>
    <row r="476" spans="1:6" x14ac:dyDescent="0.25">
      <c r="A476">
        <v>475</v>
      </c>
      <c r="B476" t="s">
        <v>169</v>
      </c>
      <c r="C476" t="s">
        <v>411</v>
      </c>
      <c r="D476">
        <v>13000</v>
      </c>
      <c r="E476" t="s">
        <v>8</v>
      </c>
      <c r="F476" t="s">
        <v>9</v>
      </c>
    </row>
    <row r="477" spans="1:6" x14ac:dyDescent="0.25">
      <c r="A477">
        <v>476</v>
      </c>
      <c r="B477" t="s">
        <v>343</v>
      </c>
      <c r="C477" t="s">
        <v>412</v>
      </c>
      <c r="D477">
        <v>32500</v>
      </c>
      <c r="E477" t="s">
        <v>38</v>
      </c>
      <c r="F477" t="s">
        <v>20</v>
      </c>
    </row>
    <row r="478" spans="1:6" x14ac:dyDescent="0.25">
      <c r="A478">
        <v>477</v>
      </c>
      <c r="B478" t="s">
        <v>374</v>
      </c>
      <c r="C478" t="s">
        <v>413</v>
      </c>
      <c r="D478">
        <v>47400</v>
      </c>
      <c r="E478" t="s">
        <v>23</v>
      </c>
      <c r="F478" t="s">
        <v>20</v>
      </c>
    </row>
    <row r="479" spans="1:6" x14ac:dyDescent="0.25">
      <c r="A479">
        <v>478</v>
      </c>
      <c r="B479" t="s">
        <v>311</v>
      </c>
      <c r="C479" t="s">
        <v>414</v>
      </c>
      <c r="D479">
        <v>179400</v>
      </c>
      <c r="E479" t="s">
        <v>23</v>
      </c>
      <c r="F479" t="s">
        <v>9</v>
      </c>
    </row>
    <row r="480" spans="1:6" x14ac:dyDescent="0.25">
      <c r="A480">
        <v>479</v>
      </c>
      <c r="B480" t="s">
        <v>87</v>
      </c>
      <c r="C480" t="s">
        <v>415</v>
      </c>
      <c r="D480">
        <v>87600</v>
      </c>
      <c r="E480" t="s">
        <v>38</v>
      </c>
      <c r="F480" t="s">
        <v>20</v>
      </c>
    </row>
    <row r="481" spans="1:6" x14ac:dyDescent="0.25">
      <c r="A481">
        <v>480</v>
      </c>
      <c r="B481" t="s">
        <v>162</v>
      </c>
      <c r="C481" t="s">
        <v>407</v>
      </c>
      <c r="D481">
        <v>500000</v>
      </c>
      <c r="E481" t="s">
        <v>8</v>
      </c>
      <c r="F481" t="s">
        <v>9</v>
      </c>
    </row>
    <row r="482" spans="1:6" x14ac:dyDescent="0.25">
      <c r="A482">
        <v>481</v>
      </c>
      <c r="B482" t="s">
        <v>269</v>
      </c>
      <c r="C482" t="s">
        <v>405</v>
      </c>
      <c r="D482">
        <v>19400</v>
      </c>
      <c r="E482" t="s">
        <v>38</v>
      </c>
      <c r="F482" t="s">
        <v>9</v>
      </c>
    </row>
    <row r="483" spans="1:6" x14ac:dyDescent="0.25">
      <c r="A483">
        <v>482</v>
      </c>
      <c r="B483" t="s">
        <v>258</v>
      </c>
      <c r="C483" t="s">
        <v>406</v>
      </c>
      <c r="D483">
        <v>32800</v>
      </c>
      <c r="E483" t="s">
        <v>38</v>
      </c>
      <c r="F483" t="s">
        <v>20</v>
      </c>
    </row>
    <row r="484" spans="1:6" x14ac:dyDescent="0.25">
      <c r="A484">
        <v>483</v>
      </c>
      <c r="B484" t="s">
        <v>417</v>
      </c>
      <c r="C484" t="s">
        <v>407</v>
      </c>
      <c r="D484">
        <v>17400</v>
      </c>
      <c r="E484" t="s">
        <v>23</v>
      </c>
      <c r="F484" t="s">
        <v>9</v>
      </c>
    </row>
    <row r="485" spans="1:6" x14ac:dyDescent="0.25">
      <c r="A485">
        <v>484</v>
      </c>
      <c r="B485" t="s">
        <v>192</v>
      </c>
      <c r="C485" t="s">
        <v>408</v>
      </c>
      <c r="D485">
        <v>14500</v>
      </c>
      <c r="E485" t="s">
        <v>23</v>
      </c>
      <c r="F485" t="s">
        <v>9</v>
      </c>
    </row>
    <row r="486" spans="1:6" x14ac:dyDescent="0.25">
      <c r="A486">
        <v>485</v>
      </c>
      <c r="B486" t="s">
        <v>107</v>
      </c>
      <c r="C486" t="s">
        <v>409</v>
      </c>
      <c r="D486">
        <v>95300</v>
      </c>
      <c r="E486" t="s">
        <v>8</v>
      </c>
      <c r="F486" t="s">
        <v>9</v>
      </c>
    </row>
    <row r="487" spans="1:6" x14ac:dyDescent="0.25">
      <c r="A487">
        <v>486</v>
      </c>
      <c r="B487" t="s">
        <v>317</v>
      </c>
      <c r="C487" t="s">
        <v>410</v>
      </c>
      <c r="D487">
        <v>11700</v>
      </c>
      <c r="E487" t="s">
        <v>8</v>
      </c>
      <c r="F487" t="s">
        <v>9</v>
      </c>
    </row>
    <row r="488" spans="1:6" x14ac:dyDescent="0.25">
      <c r="A488">
        <v>487</v>
      </c>
      <c r="B488" t="s">
        <v>358</v>
      </c>
      <c r="C488" t="s">
        <v>411</v>
      </c>
      <c r="D488">
        <v>29100</v>
      </c>
      <c r="E488" t="s">
        <v>38</v>
      </c>
      <c r="F488" t="s">
        <v>9</v>
      </c>
    </row>
    <row r="489" spans="1:6" x14ac:dyDescent="0.25">
      <c r="A489">
        <v>488</v>
      </c>
      <c r="B489" t="s">
        <v>401</v>
      </c>
      <c r="C489" t="s">
        <v>412</v>
      </c>
      <c r="D489">
        <v>38700</v>
      </c>
      <c r="E489" t="s">
        <v>8</v>
      </c>
      <c r="F489" t="s">
        <v>9</v>
      </c>
    </row>
    <row r="490" spans="1:6" x14ac:dyDescent="0.25">
      <c r="A490">
        <v>489</v>
      </c>
      <c r="B490" t="s">
        <v>213</v>
      </c>
      <c r="C490" t="s">
        <v>413</v>
      </c>
      <c r="D490">
        <v>18000</v>
      </c>
      <c r="E490" t="s">
        <v>38</v>
      </c>
      <c r="F490" t="s">
        <v>20</v>
      </c>
    </row>
    <row r="491" spans="1:6" x14ac:dyDescent="0.25">
      <c r="A491">
        <v>490</v>
      </c>
      <c r="B491" t="s">
        <v>121</v>
      </c>
      <c r="C491" t="s">
        <v>414</v>
      </c>
      <c r="D491">
        <v>39000</v>
      </c>
      <c r="E491" t="s">
        <v>8</v>
      </c>
      <c r="F491" t="s">
        <v>9</v>
      </c>
    </row>
    <row r="492" spans="1:6" x14ac:dyDescent="0.25">
      <c r="A492">
        <v>491</v>
      </c>
      <c r="B492" t="s">
        <v>284</v>
      </c>
      <c r="C492" t="s">
        <v>415</v>
      </c>
      <c r="D492">
        <v>18100</v>
      </c>
      <c r="E492" t="s">
        <v>23</v>
      </c>
      <c r="F492" t="s">
        <v>9</v>
      </c>
    </row>
    <row r="493" spans="1:6" x14ac:dyDescent="0.25">
      <c r="A493">
        <v>492</v>
      </c>
      <c r="B493" t="s">
        <v>115</v>
      </c>
      <c r="C493" t="s">
        <v>416</v>
      </c>
      <c r="D493">
        <v>23500</v>
      </c>
      <c r="E493" t="s">
        <v>8</v>
      </c>
      <c r="F493" t="s">
        <v>20</v>
      </c>
    </row>
    <row r="494" spans="1:6" x14ac:dyDescent="0.25">
      <c r="A494">
        <v>493</v>
      </c>
      <c r="B494" t="s">
        <v>184</v>
      </c>
      <c r="C494" t="s">
        <v>405</v>
      </c>
      <c r="D494">
        <v>75900</v>
      </c>
      <c r="E494" t="s">
        <v>8</v>
      </c>
      <c r="F494" t="s">
        <v>9</v>
      </c>
    </row>
    <row r="495" spans="1:6" x14ac:dyDescent="0.25">
      <c r="A495">
        <v>494</v>
      </c>
      <c r="B495" t="s">
        <v>322</v>
      </c>
      <c r="C495" t="s">
        <v>406</v>
      </c>
      <c r="D495">
        <v>5000</v>
      </c>
      <c r="E495" t="s">
        <v>38</v>
      </c>
      <c r="F495" t="s">
        <v>20</v>
      </c>
    </row>
    <row r="496" spans="1:6" x14ac:dyDescent="0.25">
      <c r="A496">
        <v>495</v>
      </c>
      <c r="B496" t="s">
        <v>216</v>
      </c>
      <c r="C496" t="s">
        <v>407</v>
      </c>
      <c r="D496">
        <v>44300</v>
      </c>
      <c r="E496" t="s">
        <v>38</v>
      </c>
      <c r="F496" t="s">
        <v>20</v>
      </c>
    </row>
    <row r="497" spans="1:6" x14ac:dyDescent="0.25">
      <c r="A497">
        <v>496</v>
      </c>
      <c r="B497" t="s">
        <v>420</v>
      </c>
      <c r="C497" t="s">
        <v>408</v>
      </c>
      <c r="D497">
        <v>20000</v>
      </c>
      <c r="E497" t="s">
        <v>8</v>
      </c>
      <c r="F497" t="s">
        <v>9</v>
      </c>
    </row>
    <row r="498" spans="1:6" x14ac:dyDescent="0.25">
      <c r="A498">
        <v>497</v>
      </c>
      <c r="B498" t="s">
        <v>208</v>
      </c>
      <c r="C498" t="s">
        <v>409</v>
      </c>
      <c r="D498">
        <v>161900</v>
      </c>
      <c r="E498" t="s">
        <v>38</v>
      </c>
      <c r="F498" t="s">
        <v>20</v>
      </c>
    </row>
    <row r="499" spans="1:6" x14ac:dyDescent="0.25">
      <c r="A499">
        <v>498</v>
      </c>
      <c r="B499" t="s">
        <v>72</v>
      </c>
      <c r="C499" t="s">
        <v>410</v>
      </c>
      <c r="D499">
        <v>9900</v>
      </c>
      <c r="E499" t="s">
        <v>38</v>
      </c>
      <c r="F499" t="s">
        <v>20</v>
      </c>
    </row>
    <row r="500" spans="1:6" x14ac:dyDescent="0.25">
      <c r="A500">
        <v>499</v>
      </c>
      <c r="B500" t="s">
        <v>401</v>
      </c>
      <c r="C500" t="s">
        <v>411</v>
      </c>
      <c r="D500">
        <v>14800</v>
      </c>
      <c r="E500" t="s">
        <v>23</v>
      </c>
      <c r="F500" t="s">
        <v>9</v>
      </c>
    </row>
    <row r="501" spans="1:6" x14ac:dyDescent="0.25">
      <c r="A501">
        <v>500</v>
      </c>
      <c r="B501" t="s">
        <v>42</v>
      </c>
      <c r="C501" t="s">
        <v>412</v>
      </c>
      <c r="D501">
        <v>30200</v>
      </c>
      <c r="E501" t="s">
        <v>8</v>
      </c>
      <c r="F501" t="s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146</v>
      </c>
      <c r="C2" t="s">
        <v>422</v>
      </c>
      <c r="D2">
        <v>17700</v>
      </c>
      <c r="E2" t="s">
        <v>8</v>
      </c>
      <c r="F2" t="s">
        <v>9</v>
      </c>
    </row>
    <row r="3" spans="1:6" x14ac:dyDescent="0.25">
      <c r="A3">
        <v>2</v>
      </c>
      <c r="B3" t="s">
        <v>321</v>
      </c>
      <c r="C3" t="s">
        <v>423</v>
      </c>
      <c r="D3">
        <v>29300</v>
      </c>
      <c r="E3" t="s">
        <v>8</v>
      </c>
      <c r="F3" t="s">
        <v>9</v>
      </c>
    </row>
    <row r="4" spans="1:6" x14ac:dyDescent="0.25">
      <c r="A4">
        <v>3</v>
      </c>
      <c r="B4" t="s">
        <v>222</v>
      </c>
      <c r="C4" t="s">
        <v>424</v>
      </c>
      <c r="D4">
        <v>20100</v>
      </c>
      <c r="E4" t="s">
        <v>23</v>
      </c>
      <c r="F4" t="s">
        <v>9</v>
      </c>
    </row>
    <row r="5" spans="1:6" x14ac:dyDescent="0.25">
      <c r="A5">
        <v>4</v>
      </c>
      <c r="B5" t="s">
        <v>290</v>
      </c>
      <c r="C5" t="s">
        <v>425</v>
      </c>
      <c r="D5">
        <v>30000</v>
      </c>
      <c r="E5" t="s">
        <v>38</v>
      </c>
      <c r="F5" t="s">
        <v>9</v>
      </c>
    </row>
    <row r="6" spans="1:6" x14ac:dyDescent="0.25">
      <c r="A6">
        <v>5</v>
      </c>
      <c r="B6" t="s">
        <v>186</v>
      </c>
      <c r="C6" t="s">
        <v>426</v>
      </c>
      <c r="D6">
        <v>92600</v>
      </c>
      <c r="E6" t="s">
        <v>8</v>
      </c>
      <c r="F6" t="s">
        <v>9</v>
      </c>
    </row>
    <row r="7" spans="1:6" x14ac:dyDescent="0.25">
      <c r="A7">
        <v>6</v>
      </c>
      <c r="B7" t="s">
        <v>372</v>
      </c>
      <c r="C7" t="s">
        <v>427</v>
      </c>
      <c r="D7">
        <v>19100</v>
      </c>
      <c r="E7" t="s">
        <v>8</v>
      </c>
      <c r="F7" t="s">
        <v>9</v>
      </c>
    </row>
    <row r="8" spans="1:6" x14ac:dyDescent="0.25">
      <c r="A8">
        <v>7</v>
      </c>
      <c r="B8" t="s">
        <v>181</v>
      </c>
      <c r="C8" t="s">
        <v>428</v>
      </c>
      <c r="D8">
        <v>21200</v>
      </c>
      <c r="E8" t="s">
        <v>8</v>
      </c>
      <c r="F8" t="s">
        <v>9</v>
      </c>
    </row>
    <row r="9" spans="1:6" x14ac:dyDescent="0.25">
      <c r="A9">
        <v>8</v>
      </c>
      <c r="B9" t="s">
        <v>108</v>
      </c>
      <c r="C9" t="s">
        <v>429</v>
      </c>
      <c r="D9">
        <v>227600</v>
      </c>
      <c r="E9" t="s">
        <v>8</v>
      </c>
      <c r="F9" t="s">
        <v>9</v>
      </c>
    </row>
    <row r="10" spans="1:6" x14ac:dyDescent="0.25">
      <c r="A10">
        <v>9</v>
      </c>
      <c r="B10" t="s">
        <v>280</v>
      </c>
      <c r="C10" t="s">
        <v>430</v>
      </c>
      <c r="D10">
        <v>5100</v>
      </c>
      <c r="E10" t="s">
        <v>8</v>
      </c>
      <c r="F10" t="s">
        <v>9</v>
      </c>
    </row>
    <row r="11" spans="1:6" x14ac:dyDescent="0.25">
      <c r="A11">
        <v>10</v>
      </c>
      <c r="B11" t="s">
        <v>364</v>
      </c>
      <c r="C11" t="s">
        <v>431</v>
      </c>
      <c r="D11">
        <v>19000</v>
      </c>
      <c r="E11" t="s">
        <v>8</v>
      </c>
      <c r="F11" t="s">
        <v>9</v>
      </c>
    </row>
    <row r="12" spans="1:6" x14ac:dyDescent="0.25">
      <c r="A12">
        <v>11</v>
      </c>
      <c r="B12" t="s">
        <v>388</v>
      </c>
      <c r="C12" t="s">
        <v>432</v>
      </c>
      <c r="D12">
        <v>76900</v>
      </c>
      <c r="E12" t="s">
        <v>8</v>
      </c>
      <c r="F12" t="s">
        <v>9</v>
      </c>
    </row>
    <row r="13" spans="1:6" x14ac:dyDescent="0.25">
      <c r="A13">
        <v>12</v>
      </c>
      <c r="B13" t="s">
        <v>70</v>
      </c>
      <c r="C13" t="s">
        <v>433</v>
      </c>
      <c r="D13">
        <v>21300</v>
      </c>
      <c r="E13" t="s">
        <v>8</v>
      </c>
      <c r="F13" t="s">
        <v>9</v>
      </c>
    </row>
    <row r="14" spans="1:6" x14ac:dyDescent="0.25">
      <c r="A14">
        <v>13</v>
      </c>
      <c r="B14" t="s">
        <v>202</v>
      </c>
      <c r="C14" t="s">
        <v>422</v>
      </c>
      <c r="D14">
        <v>21800</v>
      </c>
      <c r="E14" t="s">
        <v>8</v>
      </c>
      <c r="F14" t="s">
        <v>9</v>
      </c>
    </row>
    <row r="15" spans="1:6" x14ac:dyDescent="0.25">
      <c r="A15">
        <v>14</v>
      </c>
      <c r="B15" t="s">
        <v>61</v>
      </c>
      <c r="C15" t="s">
        <v>423</v>
      </c>
      <c r="D15">
        <v>6500</v>
      </c>
      <c r="E15" t="s">
        <v>8</v>
      </c>
      <c r="F15" t="s">
        <v>20</v>
      </c>
    </row>
    <row r="16" spans="1:6" x14ac:dyDescent="0.25">
      <c r="A16">
        <v>15</v>
      </c>
      <c r="B16" t="s">
        <v>46</v>
      </c>
      <c r="C16" t="s">
        <v>424</v>
      </c>
      <c r="D16">
        <v>5600</v>
      </c>
      <c r="E16" t="s">
        <v>8</v>
      </c>
      <c r="F16" t="s">
        <v>9</v>
      </c>
    </row>
    <row r="17" spans="1:6" x14ac:dyDescent="0.25">
      <c r="A17">
        <v>16</v>
      </c>
      <c r="B17" t="s">
        <v>172</v>
      </c>
      <c r="C17" t="s">
        <v>425</v>
      </c>
      <c r="D17">
        <v>104000</v>
      </c>
      <c r="E17" t="s">
        <v>8</v>
      </c>
      <c r="F17" t="s">
        <v>9</v>
      </c>
    </row>
    <row r="18" spans="1:6" x14ac:dyDescent="0.25">
      <c r="A18">
        <v>17</v>
      </c>
      <c r="B18" t="s">
        <v>212</v>
      </c>
      <c r="C18" t="s">
        <v>426</v>
      </c>
      <c r="D18">
        <v>168700</v>
      </c>
      <c r="E18" t="s">
        <v>8</v>
      </c>
      <c r="F18" t="s">
        <v>9</v>
      </c>
    </row>
    <row r="19" spans="1:6" x14ac:dyDescent="0.25">
      <c r="A19">
        <v>18</v>
      </c>
      <c r="B19" t="s">
        <v>291</v>
      </c>
      <c r="C19" t="s">
        <v>427</v>
      </c>
      <c r="D19">
        <v>46100</v>
      </c>
      <c r="E19" t="s">
        <v>8</v>
      </c>
      <c r="F19" t="s">
        <v>9</v>
      </c>
    </row>
    <row r="20" spans="1:6" x14ac:dyDescent="0.25">
      <c r="A20">
        <v>19</v>
      </c>
      <c r="B20" t="s">
        <v>103</v>
      </c>
      <c r="C20" t="s">
        <v>428</v>
      </c>
      <c r="D20">
        <v>17500</v>
      </c>
      <c r="E20" t="s">
        <v>8</v>
      </c>
      <c r="F20" t="s">
        <v>9</v>
      </c>
    </row>
    <row r="21" spans="1:6" x14ac:dyDescent="0.25">
      <c r="A21">
        <v>20</v>
      </c>
      <c r="B21" t="s">
        <v>181</v>
      </c>
      <c r="C21" t="s">
        <v>429</v>
      </c>
      <c r="D21">
        <v>8000</v>
      </c>
      <c r="E21" t="s">
        <v>8</v>
      </c>
      <c r="F21" t="s">
        <v>9</v>
      </c>
    </row>
    <row r="22" spans="1:6" x14ac:dyDescent="0.25">
      <c r="A22">
        <v>21</v>
      </c>
      <c r="B22" t="s">
        <v>250</v>
      </c>
      <c r="C22" t="s">
        <v>430</v>
      </c>
      <c r="D22">
        <v>29100</v>
      </c>
      <c r="E22" t="s">
        <v>8</v>
      </c>
      <c r="F22" t="s">
        <v>9</v>
      </c>
    </row>
    <row r="23" spans="1:6" x14ac:dyDescent="0.25">
      <c r="A23">
        <v>22</v>
      </c>
      <c r="B23" t="s">
        <v>107</v>
      </c>
      <c r="C23" t="s">
        <v>431</v>
      </c>
      <c r="D23">
        <v>44600</v>
      </c>
      <c r="E23" t="s">
        <v>8</v>
      </c>
      <c r="F23" t="s">
        <v>9</v>
      </c>
    </row>
    <row r="24" spans="1:6" x14ac:dyDescent="0.25">
      <c r="A24">
        <v>23</v>
      </c>
      <c r="B24" t="s">
        <v>236</v>
      </c>
      <c r="C24" t="s">
        <v>432</v>
      </c>
      <c r="D24">
        <v>5700</v>
      </c>
      <c r="E24" t="s">
        <v>8</v>
      </c>
      <c r="F24" t="s">
        <v>9</v>
      </c>
    </row>
    <row r="25" spans="1:6" x14ac:dyDescent="0.25">
      <c r="A25">
        <v>24</v>
      </c>
      <c r="B25" t="s">
        <v>112</v>
      </c>
      <c r="C25" t="s">
        <v>433</v>
      </c>
      <c r="D25">
        <v>54000</v>
      </c>
      <c r="E25" t="s">
        <v>8</v>
      </c>
      <c r="F25" t="s">
        <v>9</v>
      </c>
    </row>
    <row r="26" spans="1:6" x14ac:dyDescent="0.25">
      <c r="A26">
        <v>25</v>
      </c>
      <c r="B26" t="s">
        <v>157</v>
      </c>
      <c r="C26" t="s">
        <v>422</v>
      </c>
      <c r="D26">
        <v>22400</v>
      </c>
      <c r="E26" t="s">
        <v>8</v>
      </c>
      <c r="F26" t="s">
        <v>9</v>
      </c>
    </row>
    <row r="27" spans="1:6" x14ac:dyDescent="0.25">
      <c r="A27">
        <v>26</v>
      </c>
      <c r="B27" t="s">
        <v>271</v>
      </c>
      <c r="C27" t="s">
        <v>423</v>
      </c>
      <c r="D27">
        <v>133400</v>
      </c>
      <c r="E27" t="s">
        <v>8</v>
      </c>
      <c r="F27" t="s">
        <v>9</v>
      </c>
    </row>
    <row r="28" spans="1:6" x14ac:dyDescent="0.25">
      <c r="A28">
        <v>27</v>
      </c>
      <c r="B28" t="s">
        <v>334</v>
      </c>
      <c r="C28" t="s">
        <v>424</v>
      </c>
      <c r="D28">
        <v>57500</v>
      </c>
      <c r="E28" t="s">
        <v>8</v>
      </c>
      <c r="F28" t="s">
        <v>9</v>
      </c>
    </row>
    <row r="29" spans="1:6" x14ac:dyDescent="0.25">
      <c r="A29">
        <v>28</v>
      </c>
      <c r="B29" t="s">
        <v>150</v>
      </c>
      <c r="C29" t="s">
        <v>425</v>
      </c>
      <c r="D29">
        <v>69200</v>
      </c>
      <c r="E29" t="s">
        <v>8</v>
      </c>
      <c r="F29" t="s">
        <v>9</v>
      </c>
    </row>
    <row r="30" spans="1:6" x14ac:dyDescent="0.25">
      <c r="A30">
        <v>29</v>
      </c>
      <c r="B30" t="s">
        <v>191</v>
      </c>
      <c r="C30" t="s">
        <v>426</v>
      </c>
      <c r="D30">
        <v>28400</v>
      </c>
      <c r="E30" t="s">
        <v>8</v>
      </c>
      <c r="F30" t="s">
        <v>9</v>
      </c>
    </row>
    <row r="31" spans="1:6" x14ac:dyDescent="0.25">
      <c r="A31">
        <v>30</v>
      </c>
      <c r="B31" t="s">
        <v>159</v>
      </c>
      <c r="C31" t="s">
        <v>427</v>
      </c>
      <c r="D31">
        <v>20100</v>
      </c>
      <c r="E31" t="s">
        <v>8</v>
      </c>
      <c r="F31" t="s">
        <v>9</v>
      </c>
    </row>
    <row r="32" spans="1:6" x14ac:dyDescent="0.25">
      <c r="A32">
        <v>31</v>
      </c>
      <c r="B32" t="s">
        <v>10</v>
      </c>
      <c r="C32" t="s">
        <v>428</v>
      </c>
      <c r="D32">
        <v>15300</v>
      </c>
      <c r="E32" t="s">
        <v>8</v>
      </c>
      <c r="F32" t="s">
        <v>9</v>
      </c>
    </row>
    <row r="33" spans="1:6" x14ac:dyDescent="0.25">
      <c r="A33">
        <v>32</v>
      </c>
      <c r="B33" t="s">
        <v>346</v>
      </c>
      <c r="C33" t="s">
        <v>429</v>
      </c>
      <c r="D33">
        <v>124700</v>
      </c>
      <c r="E33" t="s">
        <v>8</v>
      </c>
      <c r="F33" t="s">
        <v>9</v>
      </c>
    </row>
    <row r="34" spans="1:6" x14ac:dyDescent="0.25">
      <c r="A34">
        <v>33</v>
      </c>
      <c r="B34" t="s">
        <v>114</v>
      </c>
      <c r="C34" t="s">
        <v>430</v>
      </c>
      <c r="D34">
        <v>60800</v>
      </c>
      <c r="E34" t="s">
        <v>23</v>
      </c>
      <c r="F34" t="s">
        <v>9</v>
      </c>
    </row>
    <row r="35" spans="1:6" x14ac:dyDescent="0.25">
      <c r="A35">
        <v>34</v>
      </c>
      <c r="B35" t="s">
        <v>159</v>
      </c>
      <c r="C35" t="s">
        <v>431</v>
      </c>
      <c r="D35">
        <v>35800</v>
      </c>
      <c r="E35" t="s">
        <v>8</v>
      </c>
      <c r="F35" t="s">
        <v>9</v>
      </c>
    </row>
    <row r="36" spans="1:6" x14ac:dyDescent="0.25">
      <c r="A36">
        <v>35</v>
      </c>
      <c r="B36" t="s">
        <v>243</v>
      </c>
      <c r="C36" t="s">
        <v>432</v>
      </c>
      <c r="D36">
        <v>30500</v>
      </c>
      <c r="E36" t="s">
        <v>8</v>
      </c>
      <c r="F36" t="s">
        <v>9</v>
      </c>
    </row>
    <row r="37" spans="1:6" x14ac:dyDescent="0.25">
      <c r="A37">
        <v>36</v>
      </c>
      <c r="B37" t="s">
        <v>68</v>
      </c>
      <c r="C37" t="s">
        <v>433</v>
      </c>
      <c r="D37">
        <v>29800</v>
      </c>
      <c r="E37" t="s">
        <v>8</v>
      </c>
      <c r="F37" t="s">
        <v>9</v>
      </c>
    </row>
    <row r="38" spans="1:6" x14ac:dyDescent="0.25">
      <c r="A38">
        <v>37</v>
      </c>
      <c r="B38" t="s">
        <v>244</v>
      </c>
      <c r="C38" t="s">
        <v>422</v>
      </c>
      <c r="D38">
        <v>91800</v>
      </c>
      <c r="E38" t="s">
        <v>8</v>
      </c>
      <c r="F38" t="s">
        <v>9</v>
      </c>
    </row>
    <row r="39" spans="1:6" x14ac:dyDescent="0.25">
      <c r="A39">
        <v>38</v>
      </c>
      <c r="B39" t="s">
        <v>148</v>
      </c>
      <c r="C39" t="s">
        <v>423</v>
      </c>
      <c r="D39">
        <v>123200</v>
      </c>
      <c r="E39" t="s">
        <v>8</v>
      </c>
      <c r="F39" t="s">
        <v>9</v>
      </c>
    </row>
    <row r="40" spans="1:6" x14ac:dyDescent="0.25">
      <c r="A40">
        <v>39</v>
      </c>
      <c r="B40" t="s">
        <v>84</v>
      </c>
      <c r="C40" t="s">
        <v>424</v>
      </c>
      <c r="D40">
        <v>149000</v>
      </c>
      <c r="E40" t="s">
        <v>8</v>
      </c>
      <c r="F40" t="s">
        <v>9</v>
      </c>
    </row>
    <row r="41" spans="1:6" x14ac:dyDescent="0.25">
      <c r="A41">
        <v>40</v>
      </c>
      <c r="B41" t="s">
        <v>211</v>
      </c>
      <c r="C41" t="s">
        <v>425</v>
      </c>
      <c r="D41">
        <v>6600</v>
      </c>
      <c r="E41" t="s">
        <v>8</v>
      </c>
      <c r="F41" t="s">
        <v>9</v>
      </c>
    </row>
    <row r="42" spans="1:6" x14ac:dyDescent="0.25">
      <c r="A42">
        <v>41</v>
      </c>
      <c r="B42" t="s">
        <v>116</v>
      </c>
      <c r="C42" t="s">
        <v>426</v>
      </c>
      <c r="D42">
        <v>43200</v>
      </c>
      <c r="E42" t="s">
        <v>8</v>
      </c>
      <c r="F42" t="s">
        <v>9</v>
      </c>
    </row>
    <row r="43" spans="1:6" x14ac:dyDescent="0.25">
      <c r="A43">
        <v>42</v>
      </c>
      <c r="B43" t="s">
        <v>288</v>
      </c>
      <c r="C43" t="s">
        <v>427</v>
      </c>
      <c r="D43">
        <v>6500</v>
      </c>
      <c r="E43" t="s">
        <v>8</v>
      </c>
      <c r="F43" t="s">
        <v>9</v>
      </c>
    </row>
    <row r="44" spans="1:6" x14ac:dyDescent="0.25">
      <c r="A44">
        <v>43</v>
      </c>
      <c r="B44" t="s">
        <v>57</v>
      </c>
      <c r="C44" t="s">
        <v>428</v>
      </c>
      <c r="D44">
        <v>29900</v>
      </c>
      <c r="E44" t="s">
        <v>8</v>
      </c>
      <c r="F44" t="s">
        <v>9</v>
      </c>
    </row>
    <row r="45" spans="1:6" x14ac:dyDescent="0.25">
      <c r="A45">
        <v>44</v>
      </c>
      <c r="B45" t="s">
        <v>127</v>
      </c>
      <c r="C45" t="s">
        <v>429</v>
      </c>
      <c r="D45">
        <v>58700</v>
      </c>
      <c r="E45" t="s">
        <v>8</v>
      </c>
      <c r="F45" t="s">
        <v>9</v>
      </c>
    </row>
    <row r="46" spans="1:6" x14ac:dyDescent="0.25">
      <c r="A46">
        <v>45</v>
      </c>
      <c r="B46" t="s">
        <v>320</v>
      </c>
      <c r="C46" t="s">
        <v>430</v>
      </c>
      <c r="D46">
        <v>26700</v>
      </c>
      <c r="E46" t="s">
        <v>23</v>
      </c>
      <c r="F46" t="s">
        <v>9</v>
      </c>
    </row>
    <row r="47" spans="1:6" x14ac:dyDescent="0.25">
      <c r="A47">
        <v>46</v>
      </c>
      <c r="B47" t="s">
        <v>227</v>
      </c>
      <c r="C47" t="s">
        <v>431</v>
      </c>
      <c r="D47">
        <v>30300</v>
      </c>
      <c r="E47" t="s">
        <v>8</v>
      </c>
      <c r="F47" t="s">
        <v>9</v>
      </c>
    </row>
    <row r="48" spans="1:6" x14ac:dyDescent="0.25">
      <c r="A48">
        <v>47</v>
      </c>
      <c r="B48" t="s">
        <v>42</v>
      </c>
      <c r="C48" t="s">
        <v>432</v>
      </c>
      <c r="D48">
        <v>53200</v>
      </c>
      <c r="E48" t="s">
        <v>8</v>
      </c>
      <c r="F48" t="s">
        <v>9</v>
      </c>
    </row>
    <row r="49" spans="1:6" x14ac:dyDescent="0.25">
      <c r="A49">
        <v>48</v>
      </c>
      <c r="B49" t="s">
        <v>200</v>
      </c>
      <c r="C49" t="s">
        <v>433</v>
      </c>
      <c r="D49">
        <v>121400</v>
      </c>
      <c r="E49" t="s">
        <v>8</v>
      </c>
      <c r="F49" t="s">
        <v>9</v>
      </c>
    </row>
    <row r="50" spans="1:6" x14ac:dyDescent="0.25">
      <c r="A50">
        <v>49</v>
      </c>
      <c r="B50" t="s">
        <v>316</v>
      </c>
      <c r="C50" t="s">
        <v>422</v>
      </c>
      <c r="D50">
        <v>24600</v>
      </c>
      <c r="E50" t="s">
        <v>8</v>
      </c>
      <c r="F50" t="s">
        <v>9</v>
      </c>
    </row>
    <row r="51" spans="1:6" x14ac:dyDescent="0.25">
      <c r="A51">
        <v>50</v>
      </c>
      <c r="B51" t="s">
        <v>107</v>
      </c>
      <c r="C51" t="s">
        <v>423</v>
      </c>
      <c r="D51">
        <v>71600</v>
      </c>
      <c r="E51" t="s">
        <v>8</v>
      </c>
      <c r="F51" t="s">
        <v>9</v>
      </c>
    </row>
    <row r="52" spans="1:6" x14ac:dyDescent="0.25">
      <c r="A52">
        <v>51</v>
      </c>
      <c r="B52" t="s">
        <v>282</v>
      </c>
      <c r="C52" t="s">
        <v>424</v>
      </c>
      <c r="D52">
        <v>12200</v>
      </c>
      <c r="E52" t="s">
        <v>8</v>
      </c>
      <c r="F52" t="s">
        <v>9</v>
      </c>
    </row>
    <row r="53" spans="1:6" x14ac:dyDescent="0.25">
      <c r="A53">
        <v>52</v>
      </c>
      <c r="B53" t="s">
        <v>160</v>
      </c>
      <c r="C53" t="s">
        <v>425</v>
      </c>
      <c r="D53">
        <v>18500</v>
      </c>
      <c r="E53" t="s">
        <v>8</v>
      </c>
      <c r="F53" t="s">
        <v>9</v>
      </c>
    </row>
    <row r="54" spans="1:6" x14ac:dyDescent="0.25">
      <c r="A54">
        <v>53</v>
      </c>
      <c r="B54" t="s">
        <v>73</v>
      </c>
      <c r="C54" t="s">
        <v>423</v>
      </c>
      <c r="D54">
        <v>480000</v>
      </c>
      <c r="E54" t="s">
        <v>8</v>
      </c>
      <c r="F54" t="s">
        <v>9</v>
      </c>
    </row>
    <row r="55" spans="1:6" x14ac:dyDescent="0.25">
      <c r="A55">
        <v>54</v>
      </c>
      <c r="B55" t="s">
        <v>166</v>
      </c>
      <c r="C55" t="s">
        <v>427</v>
      </c>
      <c r="D55">
        <v>68200</v>
      </c>
      <c r="E55" t="s">
        <v>8</v>
      </c>
      <c r="F55" t="s">
        <v>9</v>
      </c>
    </row>
    <row r="56" spans="1:6" x14ac:dyDescent="0.25">
      <c r="A56">
        <v>55</v>
      </c>
      <c r="B56" t="s">
        <v>225</v>
      </c>
      <c r="C56" t="s">
        <v>428</v>
      </c>
      <c r="D56">
        <v>22800</v>
      </c>
      <c r="E56" t="s">
        <v>8</v>
      </c>
      <c r="F56" t="s">
        <v>9</v>
      </c>
    </row>
    <row r="57" spans="1:6" x14ac:dyDescent="0.25">
      <c r="A57">
        <v>56</v>
      </c>
      <c r="B57" t="s">
        <v>260</v>
      </c>
      <c r="C57" t="s">
        <v>429</v>
      </c>
      <c r="D57">
        <v>71400</v>
      </c>
      <c r="E57" t="s">
        <v>8</v>
      </c>
      <c r="F57" t="s">
        <v>9</v>
      </c>
    </row>
    <row r="58" spans="1:6" x14ac:dyDescent="0.25">
      <c r="A58">
        <v>57</v>
      </c>
      <c r="B58" t="s">
        <v>6</v>
      </c>
      <c r="C58" t="s">
        <v>430</v>
      </c>
      <c r="D58">
        <v>17300</v>
      </c>
      <c r="E58" t="s">
        <v>8</v>
      </c>
      <c r="F58" t="s">
        <v>9</v>
      </c>
    </row>
    <row r="59" spans="1:6" x14ac:dyDescent="0.25">
      <c r="A59">
        <v>58</v>
      </c>
      <c r="B59" t="s">
        <v>318</v>
      </c>
      <c r="C59" t="s">
        <v>431</v>
      </c>
      <c r="D59">
        <v>17800</v>
      </c>
      <c r="E59" t="s">
        <v>8</v>
      </c>
      <c r="F59" t="s">
        <v>9</v>
      </c>
    </row>
    <row r="60" spans="1:6" x14ac:dyDescent="0.25">
      <c r="A60">
        <v>59</v>
      </c>
      <c r="B60" t="s">
        <v>124</v>
      </c>
      <c r="C60" t="s">
        <v>432</v>
      </c>
      <c r="D60">
        <v>101900</v>
      </c>
      <c r="E60" t="s">
        <v>8</v>
      </c>
      <c r="F60" t="s">
        <v>9</v>
      </c>
    </row>
    <row r="61" spans="1:6" x14ac:dyDescent="0.25">
      <c r="A61">
        <v>60</v>
      </c>
      <c r="B61" t="s">
        <v>126</v>
      </c>
      <c r="C61" t="s">
        <v>433</v>
      </c>
      <c r="D61">
        <v>16100</v>
      </c>
      <c r="E61" t="s">
        <v>8</v>
      </c>
      <c r="F61" t="s">
        <v>9</v>
      </c>
    </row>
    <row r="62" spans="1:6" x14ac:dyDescent="0.25">
      <c r="A62">
        <v>61</v>
      </c>
      <c r="B62" t="s">
        <v>281</v>
      </c>
      <c r="C62" t="s">
        <v>422</v>
      </c>
      <c r="D62">
        <v>18700</v>
      </c>
      <c r="E62" t="s">
        <v>38</v>
      </c>
      <c r="F62" t="s">
        <v>20</v>
      </c>
    </row>
    <row r="63" spans="1:6" x14ac:dyDescent="0.25">
      <c r="A63">
        <v>62</v>
      </c>
      <c r="B63" t="s">
        <v>120</v>
      </c>
      <c r="C63" t="s">
        <v>423</v>
      </c>
      <c r="D63">
        <v>25900</v>
      </c>
      <c r="E63" t="s">
        <v>8</v>
      </c>
      <c r="F63" t="s">
        <v>9</v>
      </c>
    </row>
    <row r="64" spans="1:6" x14ac:dyDescent="0.25">
      <c r="A64">
        <v>63</v>
      </c>
      <c r="B64" t="s">
        <v>53</v>
      </c>
      <c r="C64" t="s">
        <v>424</v>
      </c>
      <c r="D64">
        <v>52300</v>
      </c>
      <c r="E64" t="s">
        <v>8</v>
      </c>
      <c r="F64" t="s">
        <v>9</v>
      </c>
    </row>
    <row r="65" spans="1:6" x14ac:dyDescent="0.25">
      <c r="A65">
        <v>64</v>
      </c>
      <c r="B65" t="s">
        <v>272</v>
      </c>
      <c r="C65" t="s">
        <v>425</v>
      </c>
      <c r="D65">
        <v>42000</v>
      </c>
      <c r="E65" t="s">
        <v>8</v>
      </c>
      <c r="F65" t="s">
        <v>9</v>
      </c>
    </row>
    <row r="66" spans="1:6" x14ac:dyDescent="0.25">
      <c r="A66">
        <v>65</v>
      </c>
      <c r="B66" t="s">
        <v>434</v>
      </c>
      <c r="C66" t="s">
        <v>426</v>
      </c>
      <c r="D66">
        <v>65800</v>
      </c>
      <c r="E66" t="s">
        <v>8</v>
      </c>
      <c r="F66" t="s">
        <v>9</v>
      </c>
    </row>
    <row r="67" spans="1:6" x14ac:dyDescent="0.25">
      <c r="A67">
        <v>66</v>
      </c>
      <c r="B67" t="s">
        <v>35</v>
      </c>
      <c r="C67" t="s">
        <v>427</v>
      </c>
      <c r="D67">
        <v>56400</v>
      </c>
      <c r="E67" t="s">
        <v>8</v>
      </c>
      <c r="F67" t="s">
        <v>9</v>
      </c>
    </row>
    <row r="68" spans="1:6" x14ac:dyDescent="0.25">
      <c r="A68">
        <v>67</v>
      </c>
      <c r="B68" t="s">
        <v>330</v>
      </c>
      <c r="C68" t="s">
        <v>428</v>
      </c>
      <c r="D68">
        <v>101400</v>
      </c>
      <c r="E68" t="s">
        <v>23</v>
      </c>
      <c r="F68" t="s">
        <v>9</v>
      </c>
    </row>
    <row r="69" spans="1:6" x14ac:dyDescent="0.25">
      <c r="A69">
        <v>68</v>
      </c>
      <c r="B69" t="s">
        <v>284</v>
      </c>
      <c r="C69" t="s">
        <v>429</v>
      </c>
      <c r="D69">
        <v>18200</v>
      </c>
      <c r="E69" t="s">
        <v>8</v>
      </c>
      <c r="F69" t="s">
        <v>9</v>
      </c>
    </row>
    <row r="70" spans="1:6" x14ac:dyDescent="0.25">
      <c r="A70">
        <v>69</v>
      </c>
      <c r="B70" t="s">
        <v>239</v>
      </c>
      <c r="C70" t="s">
        <v>430</v>
      </c>
      <c r="D70">
        <v>28300</v>
      </c>
      <c r="E70" t="s">
        <v>8</v>
      </c>
      <c r="F70" t="s">
        <v>9</v>
      </c>
    </row>
    <row r="71" spans="1:6" x14ac:dyDescent="0.25">
      <c r="A71">
        <v>70</v>
      </c>
      <c r="B71" t="s">
        <v>171</v>
      </c>
      <c r="C71" t="s">
        <v>431</v>
      </c>
      <c r="D71">
        <v>23000</v>
      </c>
      <c r="E71" t="s">
        <v>8</v>
      </c>
      <c r="F71" t="s">
        <v>9</v>
      </c>
    </row>
    <row r="72" spans="1:6" x14ac:dyDescent="0.25">
      <c r="A72">
        <v>71</v>
      </c>
      <c r="B72" t="s">
        <v>169</v>
      </c>
      <c r="C72" t="s">
        <v>432</v>
      </c>
      <c r="D72">
        <v>57300</v>
      </c>
      <c r="E72" t="s">
        <v>8</v>
      </c>
      <c r="F72" t="s">
        <v>9</v>
      </c>
    </row>
    <row r="73" spans="1:6" x14ac:dyDescent="0.25">
      <c r="A73">
        <v>72</v>
      </c>
      <c r="B73" t="s">
        <v>314</v>
      </c>
      <c r="C73" t="s">
        <v>433</v>
      </c>
      <c r="D73">
        <v>13700</v>
      </c>
      <c r="E73" t="s">
        <v>8</v>
      </c>
      <c r="F73" t="s">
        <v>9</v>
      </c>
    </row>
    <row r="74" spans="1:6" x14ac:dyDescent="0.25">
      <c r="A74">
        <v>73</v>
      </c>
      <c r="B74" t="s">
        <v>42</v>
      </c>
      <c r="C74" t="s">
        <v>422</v>
      </c>
      <c r="D74">
        <v>41700</v>
      </c>
      <c r="E74" t="s">
        <v>8</v>
      </c>
      <c r="F74" t="s">
        <v>9</v>
      </c>
    </row>
    <row r="75" spans="1:6" x14ac:dyDescent="0.25">
      <c r="A75">
        <v>74</v>
      </c>
      <c r="B75" t="s">
        <v>130</v>
      </c>
      <c r="C75" t="s">
        <v>423</v>
      </c>
      <c r="D75">
        <v>43100</v>
      </c>
      <c r="E75" t="s">
        <v>8</v>
      </c>
      <c r="F75" t="s">
        <v>9</v>
      </c>
    </row>
    <row r="76" spans="1:6" x14ac:dyDescent="0.25">
      <c r="A76">
        <v>75</v>
      </c>
      <c r="B76" t="s">
        <v>60</v>
      </c>
      <c r="C76" t="s">
        <v>424</v>
      </c>
      <c r="D76">
        <v>25800</v>
      </c>
      <c r="E76" t="s">
        <v>8</v>
      </c>
      <c r="F76" t="s">
        <v>9</v>
      </c>
    </row>
    <row r="77" spans="1:6" x14ac:dyDescent="0.25">
      <c r="A77">
        <v>76</v>
      </c>
      <c r="B77" t="s">
        <v>310</v>
      </c>
      <c r="C77" t="s">
        <v>425</v>
      </c>
      <c r="D77">
        <v>5000</v>
      </c>
      <c r="E77" t="s">
        <v>8</v>
      </c>
      <c r="F77" t="s">
        <v>9</v>
      </c>
    </row>
    <row r="78" spans="1:6" x14ac:dyDescent="0.25">
      <c r="A78">
        <v>77</v>
      </c>
      <c r="B78" t="s">
        <v>359</v>
      </c>
      <c r="C78" t="s">
        <v>426</v>
      </c>
      <c r="D78">
        <v>15800</v>
      </c>
      <c r="E78" t="s">
        <v>8</v>
      </c>
      <c r="F78" t="s">
        <v>9</v>
      </c>
    </row>
    <row r="79" spans="1:6" x14ac:dyDescent="0.25">
      <c r="A79">
        <v>78</v>
      </c>
      <c r="B79" t="s">
        <v>162</v>
      </c>
      <c r="C79" t="s">
        <v>427</v>
      </c>
      <c r="D79">
        <v>175100</v>
      </c>
      <c r="E79" t="s">
        <v>8</v>
      </c>
      <c r="F79" t="s">
        <v>9</v>
      </c>
    </row>
    <row r="80" spans="1:6" x14ac:dyDescent="0.25">
      <c r="A80">
        <v>79</v>
      </c>
      <c r="B80" t="s">
        <v>242</v>
      </c>
      <c r="C80" t="s">
        <v>428</v>
      </c>
      <c r="D80">
        <v>48800</v>
      </c>
      <c r="E80" t="s">
        <v>8</v>
      </c>
      <c r="F80" t="s">
        <v>9</v>
      </c>
    </row>
    <row r="81" spans="1:6" x14ac:dyDescent="0.25">
      <c r="A81">
        <v>80</v>
      </c>
      <c r="B81" t="s">
        <v>94</v>
      </c>
      <c r="C81" t="s">
        <v>429</v>
      </c>
      <c r="D81">
        <v>10500</v>
      </c>
      <c r="E81" t="s">
        <v>8</v>
      </c>
      <c r="F81" t="s">
        <v>9</v>
      </c>
    </row>
    <row r="82" spans="1:6" x14ac:dyDescent="0.25">
      <c r="A82">
        <v>81</v>
      </c>
      <c r="B82" t="s">
        <v>212</v>
      </c>
      <c r="C82" t="s">
        <v>430</v>
      </c>
      <c r="D82">
        <v>15000</v>
      </c>
      <c r="E82" t="s">
        <v>8</v>
      </c>
      <c r="F82" t="s">
        <v>9</v>
      </c>
    </row>
    <row r="83" spans="1:6" x14ac:dyDescent="0.25">
      <c r="A83">
        <v>82</v>
      </c>
      <c r="B83" t="s">
        <v>18</v>
      </c>
      <c r="C83" t="s">
        <v>431</v>
      </c>
      <c r="D83">
        <v>12300</v>
      </c>
      <c r="E83" t="s">
        <v>8</v>
      </c>
      <c r="F83" t="s">
        <v>9</v>
      </c>
    </row>
    <row r="84" spans="1:6" x14ac:dyDescent="0.25">
      <c r="A84">
        <v>83</v>
      </c>
      <c r="B84" t="s">
        <v>359</v>
      </c>
      <c r="C84" t="s">
        <v>432</v>
      </c>
      <c r="D84">
        <v>6200</v>
      </c>
      <c r="E84" t="s">
        <v>8</v>
      </c>
      <c r="F84" t="s">
        <v>9</v>
      </c>
    </row>
    <row r="85" spans="1:6" x14ac:dyDescent="0.25">
      <c r="A85">
        <v>84</v>
      </c>
      <c r="B85" t="s">
        <v>279</v>
      </c>
      <c r="C85" t="s">
        <v>433</v>
      </c>
      <c r="D85">
        <v>89000</v>
      </c>
      <c r="E85" t="s">
        <v>23</v>
      </c>
      <c r="F85" t="s">
        <v>9</v>
      </c>
    </row>
    <row r="86" spans="1:6" x14ac:dyDescent="0.25">
      <c r="A86">
        <v>85</v>
      </c>
      <c r="B86" t="s">
        <v>176</v>
      </c>
      <c r="C86" t="s">
        <v>422</v>
      </c>
      <c r="D86">
        <v>33900</v>
      </c>
      <c r="E86" t="s">
        <v>8</v>
      </c>
      <c r="F86" t="s">
        <v>9</v>
      </c>
    </row>
    <row r="87" spans="1:6" x14ac:dyDescent="0.25">
      <c r="A87">
        <v>86</v>
      </c>
      <c r="B87" t="s">
        <v>343</v>
      </c>
      <c r="C87" t="s">
        <v>423</v>
      </c>
      <c r="D87">
        <v>38000</v>
      </c>
      <c r="E87" t="s">
        <v>8</v>
      </c>
      <c r="F87" t="s">
        <v>9</v>
      </c>
    </row>
    <row r="88" spans="1:6" x14ac:dyDescent="0.25">
      <c r="A88">
        <v>87</v>
      </c>
      <c r="B88" t="s">
        <v>35</v>
      </c>
      <c r="C88" t="s">
        <v>424</v>
      </c>
      <c r="D88">
        <v>32900</v>
      </c>
      <c r="E88" t="s">
        <v>8</v>
      </c>
      <c r="F88" t="s">
        <v>9</v>
      </c>
    </row>
    <row r="89" spans="1:6" x14ac:dyDescent="0.25">
      <c r="A89">
        <v>88</v>
      </c>
      <c r="B89" t="s">
        <v>326</v>
      </c>
      <c r="C89" t="s">
        <v>425</v>
      </c>
      <c r="D89">
        <v>24400</v>
      </c>
      <c r="E89" t="s">
        <v>8</v>
      </c>
      <c r="F89" t="s">
        <v>9</v>
      </c>
    </row>
    <row r="90" spans="1:6" x14ac:dyDescent="0.25">
      <c r="A90">
        <v>89</v>
      </c>
      <c r="B90" t="s">
        <v>160</v>
      </c>
      <c r="C90" t="s">
        <v>426</v>
      </c>
      <c r="D90">
        <v>18300</v>
      </c>
      <c r="E90" t="s">
        <v>8</v>
      </c>
      <c r="F90" t="s">
        <v>9</v>
      </c>
    </row>
    <row r="91" spans="1:6" x14ac:dyDescent="0.25">
      <c r="A91">
        <v>90</v>
      </c>
      <c r="B91" t="s">
        <v>367</v>
      </c>
      <c r="C91" t="s">
        <v>427</v>
      </c>
      <c r="D91">
        <v>45600</v>
      </c>
      <c r="E91" t="s">
        <v>8</v>
      </c>
      <c r="F91" t="s">
        <v>9</v>
      </c>
    </row>
    <row r="92" spans="1:6" x14ac:dyDescent="0.25">
      <c r="A92">
        <v>91</v>
      </c>
      <c r="B92" t="s">
        <v>177</v>
      </c>
      <c r="C92" t="s">
        <v>428</v>
      </c>
      <c r="D92">
        <v>12400</v>
      </c>
      <c r="E92" t="s">
        <v>8</v>
      </c>
      <c r="F92" t="s">
        <v>9</v>
      </c>
    </row>
    <row r="93" spans="1:6" x14ac:dyDescent="0.25">
      <c r="A93">
        <v>92</v>
      </c>
      <c r="B93" t="s">
        <v>82</v>
      </c>
      <c r="C93" t="s">
        <v>429</v>
      </c>
      <c r="D93">
        <v>57100</v>
      </c>
      <c r="E93" t="s">
        <v>8</v>
      </c>
      <c r="F93" t="s">
        <v>9</v>
      </c>
    </row>
    <row r="94" spans="1:6" x14ac:dyDescent="0.25">
      <c r="A94">
        <v>93</v>
      </c>
      <c r="B94" t="s">
        <v>156</v>
      </c>
      <c r="C94" t="s">
        <v>430</v>
      </c>
      <c r="D94">
        <v>5000</v>
      </c>
      <c r="E94" t="s">
        <v>8</v>
      </c>
      <c r="F94" t="s">
        <v>9</v>
      </c>
    </row>
    <row r="95" spans="1:6" x14ac:dyDescent="0.25">
      <c r="A95">
        <v>94</v>
      </c>
      <c r="B95" t="s">
        <v>329</v>
      </c>
      <c r="C95" t="s">
        <v>431</v>
      </c>
      <c r="D95">
        <v>16300</v>
      </c>
      <c r="E95" t="s">
        <v>8</v>
      </c>
      <c r="F95" t="s">
        <v>9</v>
      </c>
    </row>
    <row r="96" spans="1:6" x14ac:dyDescent="0.25">
      <c r="A96">
        <v>95</v>
      </c>
      <c r="B96" t="s">
        <v>14</v>
      </c>
      <c r="C96" t="s">
        <v>432</v>
      </c>
      <c r="D96">
        <v>82300</v>
      </c>
      <c r="E96" t="s">
        <v>8</v>
      </c>
      <c r="F96" t="s">
        <v>9</v>
      </c>
    </row>
    <row r="97" spans="1:6" x14ac:dyDescent="0.25">
      <c r="A97">
        <v>96</v>
      </c>
      <c r="B97" t="s">
        <v>149</v>
      </c>
      <c r="C97" t="s">
        <v>433</v>
      </c>
      <c r="D97">
        <v>17800</v>
      </c>
      <c r="E97" t="s">
        <v>8</v>
      </c>
      <c r="F97" t="s">
        <v>9</v>
      </c>
    </row>
    <row r="98" spans="1:6" x14ac:dyDescent="0.25">
      <c r="A98">
        <v>97</v>
      </c>
      <c r="B98" t="s">
        <v>360</v>
      </c>
      <c r="C98" t="s">
        <v>422</v>
      </c>
      <c r="D98">
        <v>52200</v>
      </c>
      <c r="E98" t="s">
        <v>23</v>
      </c>
      <c r="F98" t="s">
        <v>9</v>
      </c>
    </row>
    <row r="99" spans="1:6" x14ac:dyDescent="0.25">
      <c r="A99">
        <v>98</v>
      </c>
      <c r="B99" t="s">
        <v>164</v>
      </c>
      <c r="C99" t="s">
        <v>423</v>
      </c>
      <c r="D99">
        <v>27700</v>
      </c>
      <c r="E99" t="s">
        <v>8</v>
      </c>
      <c r="F99" t="s">
        <v>9</v>
      </c>
    </row>
    <row r="100" spans="1:6" x14ac:dyDescent="0.25">
      <c r="A100">
        <v>99</v>
      </c>
      <c r="B100" t="s">
        <v>163</v>
      </c>
      <c r="C100" t="s">
        <v>424</v>
      </c>
      <c r="D100">
        <v>40700</v>
      </c>
      <c r="E100" t="s">
        <v>8</v>
      </c>
      <c r="F100" t="s">
        <v>9</v>
      </c>
    </row>
    <row r="101" spans="1:6" x14ac:dyDescent="0.25">
      <c r="A101">
        <v>100</v>
      </c>
      <c r="B101" t="s">
        <v>371</v>
      </c>
      <c r="C101" t="s">
        <v>425</v>
      </c>
      <c r="D101">
        <v>36900</v>
      </c>
      <c r="E101" t="s">
        <v>38</v>
      </c>
      <c r="F101" t="s">
        <v>20</v>
      </c>
    </row>
    <row r="102" spans="1:6" x14ac:dyDescent="0.25">
      <c r="A102">
        <v>101</v>
      </c>
      <c r="B102" t="s">
        <v>88</v>
      </c>
      <c r="C102" t="s">
        <v>426</v>
      </c>
      <c r="D102">
        <v>45200</v>
      </c>
      <c r="E102" t="s">
        <v>8</v>
      </c>
      <c r="F102" t="s">
        <v>9</v>
      </c>
    </row>
    <row r="103" spans="1:6" x14ac:dyDescent="0.25">
      <c r="A103">
        <v>102</v>
      </c>
      <c r="B103" t="s">
        <v>291</v>
      </c>
      <c r="C103" t="s">
        <v>427</v>
      </c>
      <c r="D103">
        <v>68000</v>
      </c>
      <c r="E103" t="s">
        <v>8</v>
      </c>
      <c r="F103" t="s">
        <v>9</v>
      </c>
    </row>
    <row r="104" spans="1:6" x14ac:dyDescent="0.25">
      <c r="A104">
        <v>103</v>
      </c>
      <c r="B104" t="s">
        <v>199</v>
      </c>
      <c r="C104" t="s">
        <v>428</v>
      </c>
      <c r="D104">
        <v>54900</v>
      </c>
      <c r="E104" t="s">
        <v>8</v>
      </c>
      <c r="F104" t="s">
        <v>9</v>
      </c>
    </row>
    <row r="105" spans="1:6" x14ac:dyDescent="0.25">
      <c r="A105">
        <v>104</v>
      </c>
      <c r="B105" t="s">
        <v>394</v>
      </c>
      <c r="C105" t="s">
        <v>429</v>
      </c>
      <c r="D105">
        <v>41600</v>
      </c>
      <c r="E105" t="s">
        <v>38</v>
      </c>
      <c r="F105" t="s">
        <v>9</v>
      </c>
    </row>
    <row r="106" spans="1:6" x14ac:dyDescent="0.25">
      <c r="A106">
        <v>105</v>
      </c>
      <c r="B106" t="s">
        <v>63</v>
      </c>
      <c r="C106" t="s">
        <v>430</v>
      </c>
      <c r="D106">
        <v>101300</v>
      </c>
      <c r="E106" t="s">
        <v>8</v>
      </c>
      <c r="F106" t="s">
        <v>9</v>
      </c>
    </row>
    <row r="107" spans="1:6" x14ac:dyDescent="0.25">
      <c r="A107">
        <v>106</v>
      </c>
      <c r="B107" t="s">
        <v>260</v>
      </c>
      <c r="C107" t="s">
        <v>431</v>
      </c>
      <c r="D107">
        <v>33600</v>
      </c>
      <c r="E107" t="s">
        <v>8</v>
      </c>
      <c r="F107" t="s">
        <v>9</v>
      </c>
    </row>
    <row r="108" spans="1:6" x14ac:dyDescent="0.25">
      <c r="A108">
        <v>107</v>
      </c>
      <c r="B108" t="s">
        <v>42</v>
      </c>
      <c r="C108" t="s">
        <v>427</v>
      </c>
      <c r="D108">
        <v>0</v>
      </c>
      <c r="E108" t="s">
        <v>8</v>
      </c>
      <c r="F108" t="s">
        <v>9</v>
      </c>
    </row>
    <row r="109" spans="1:6" x14ac:dyDescent="0.25">
      <c r="A109">
        <v>108</v>
      </c>
      <c r="B109" t="s">
        <v>107</v>
      </c>
      <c r="C109" t="s">
        <v>433</v>
      </c>
      <c r="D109">
        <v>101700</v>
      </c>
      <c r="E109" t="s">
        <v>8</v>
      </c>
      <c r="F109" t="s">
        <v>9</v>
      </c>
    </row>
    <row r="110" spans="1:6" x14ac:dyDescent="0.25">
      <c r="A110">
        <v>109</v>
      </c>
      <c r="B110" t="s">
        <v>211</v>
      </c>
      <c r="C110" t="s">
        <v>422</v>
      </c>
      <c r="D110">
        <v>12900</v>
      </c>
      <c r="E110" t="s">
        <v>8</v>
      </c>
      <c r="F110" t="s">
        <v>9</v>
      </c>
    </row>
    <row r="111" spans="1:6" x14ac:dyDescent="0.25">
      <c r="A111">
        <v>110</v>
      </c>
      <c r="B111" t="s">
        <v>240</v>
      </c>
      <c r="C111" t="s">
        <v>423</v>
      </c>
      <c r="D111">
        <v>109100</v>
      </c>
      <c r="E111" t="s">
        <v>8</v>
      </c>
      <c r="F111" t="s">
        <v>9</v>
      </c>
    </row>
    <row r="112" spans="1:6" x14ac:dyDescent="0.25">
      <c r="A112">
        <v>111</v>
      </c>
      <c r="B112" t="s">
        <v>217</v>
      </c>
      <c r="C112" t="s">
        <v>424</v>
      </c>
      <c r="D112">
        <v>89800</v>
      </c>
      <c r="E112" t="s">
        <v>8</v>
      </c>
      <c r="F112" t="s">
        <v>9</v>
      </c>
    </row>
    <row r="113" spans="1:6" x14ac:dyDescent="0.25">
      <c r="A113">
        <v>112</v>
      </c>
      <c r="B113" t="s">
        <v>53</v>
      </c>
      <c r="C113" t="s">
        <v>425</v>
      </c>
      <c r="D113">
        <v>42200</v>
      </c>
      <c r="E113" t="s">
        <v>8</v>
      </c>
      <c r="F113" t="s">
        <v>9</v>
      </c>
    </row>
    <row r="114" spans="1:6" x14ac:dyDescent="0.25">
      <c r="A114">
        <v>113</v>
      </c>
      <c r="B114" t="s">
        <v>315</v>
      </c>
      <c r="C114" t="s">
        <v>426</v>
      </c>
      <c r="D114">
        <v>10500</v>
      </c>
      <c r="E114" t="s">
        <v>38</v>
      </c>
      <c r="F114" t="s">
        <v>9</v>
      </c>
    </row>
    <row r="115" spans="1:6" x14ac:dyDescent="0.25">
      <c r="A115">
        <v>114</v>
      </c>
      <c r="B115" t="s">
        <v>93</v>
      </c>
      <c r="C115" t="s">
        <v>427</v>
      </c>
      <c r="D115">
        <v>22100</v>
      </c>
      <c r="E115" t="s">
        <v>8</v>
      </c>
      <c r="F115" t="s">
        <v>9</v>
      </c>
    </row>
    <row r="116" spans="1:6" x14ac:dyDescent="0.25">
      <c r="A116">
        <v>115</v>
      </c>
      <c r="B116" t="s">
        <v>261</v>
      </c>
      <c r="C116" t="s">
        <v>428</v>
      </c>
      <c r="D116">
        <v>22400</v>
      </c>
      <c r="E116" t="s">
        <v>8</v>
      </c>
      <c r="F116" t="s">
        <v>9</v>
      </c>
    </row>
    <row r="117" spans="1:6" x14ac:dyDescent="0.25">
      <c r="A117">
        <v>116</v>
      </c>
      <c r="B117" t="s">
        <v>61</v>
      </c>
      <c r="C117" t="s">
        <v>429</v>
      </c>
      <c r="D117">
        <v>91400</v>
      </c>
      <c r="E117" t="s">
        <v>8</v>
      </c>
      <c r="F117" t="s">
        <v>9</v>
      </c>
    </row>
    <row r="118" spans="1:6" x14ac:dyDescent="0.25">
      <c r="A118">
        <v>117</v>
      </c>
      <c r="B118" t="s">
        <v>88</v>
      </c>
      <c r="C118" t="s">
        <v>430</v>
      </c>
      <c r="D118">
        <v>11300</v>
      </c>
      <c r="E118" t="s">
        <v>8</v>
      </c>
      <c r="F118" t="s">
        <v>9</v>
      </c>
    </row>
    <row r="119" spans="1:6" x14ac:dyDescent="0.25">
      <c r="A119">
        <v>118</v>
      </c>
      <c r="B119" t="s">
        <v>54</v>
      </c>
      <c r="C119" t="s">
        <v>431</v>
      </c>
      <c r="D119">
        <v>6600</v>
      </c>
      <c r="E119" t="s">
        <v>8</v>
      </c>
      <c r="F119" t="s">
        <v>9</v>
      </c>
    </row>
    <row r="120" spans="1:6" x14ac:dyDescent="0.25">
      <c r="A120">
        <v>119</v>
      </c>
      <c r="B120" t="s">
        <v>258</v>
      </c>
      <c r="C120" t="s">
        <v>432</v>
      </c>
      <c r="D120">
        <v>136200</v>
      </c>
      <c r="E120" t="s">
        <v>8</v>
      </c>
      <c r="F120" t="s">
        <v>9</v>
      </c>
    </row>
    <row r="121" spans="1:6" x14ac:dyDescent="0.25">
      <c r="A121">
        <v>120</v>
      </c>
      <c r="B121" t="s">
        <v>176</v>
      </c>
      <c r="C121" t="s">
        <v>433</v>
      </c>
      <c r="D121">
        <v>37900</v>
      </c>
      <c r="E121" t="s">
        <v>8</v>
      </c>
      <c r="F121" t="s">
        <v>9</v>
      </c>
    </row>
    <row r="122" spans="1:6" x14ac:dyDescent="0.25">
      <c r="A122">
        <v>121</v>
      </c>
      <c r="B122" t="s">
        <v>346</v>
      </c>
      <c r="C122" t="s">
        <v>422</v>
      </c>
      <c r="D122">
        <v>5000</v>
      </c>
      <c r="E122" t="s">
        <v>8</v>
      </c>
      <c r="F122" t="s">
        <v>9</v>
      </c>
    </row>
    <row r="123" spans="1:6" x14ac:dyDescent="0.25">
      <c r="A123">
        <v>122</v>
      </c>
      <c r="B123" t="s">
        <v>37</v>
      </c>
      <c r="C123" t="s">
        <v>423</v>
      </c>
      <c r="D123">
        <v>80400</v>
      </c>
      <c r="E123" t="s">
        <v>8</v>
      </c>
      <c r="F123" t="s">
        <v>9</v>
      </c>
    </row>
    <row r="124" spans="1:6" x14ac:dyDescent="0.25">
      <c r="A124">
        <v>123</v>
      </c>
      <c r="B124" t="s">
        <v>257</v>
      </c>
      <c r="C124" t="s">
        <v>424</v>
      </c>
      <c r="D124">
        <v>17400</v>
      </c>
      <c r="E124" t="s">
        <v>8</v>
      </c>
      <c r="F124" t="s">
        <v>9</v>
      </c>
    </row>
    <row r="125" spans="1:6" x14ac:dyDescent="0.25">
      <c r="A125">
        <v>124</v>
      </c>
      <c r="B125" t="s">
        <v>202</v>
      </c>
      <c r="C125" t="s">
        <v>425</v>
      </c>
      <c r="D125">
        <v>96600</v>
      </c>
      <c r="E125" t="s">
        <v>8</v>
      </c>
      <c r="F125" t="s">
        <v>9</v>
      </c>
    </row>
    <row r="126" spans="1:6" x14ac:dyDescent="0.25">
      <c r="A126">
        <v>125</v>
      </c>
      <c r="B126" t="s">
        <v>127</v>
      </c>
      <c r="C126" t="s">
        <v>426</v>
      </c>
      <c r="D126">
        <v>16000</v>
      </c>
      <c r="E126" t="s">
        <v>8</v>
      </c>
      <c r="F126" t="s">
        <v>9</v>
      </c>
    </row>
    <row r="127" spans="1:6" x14ac:dyDescent="0.25">
      <c r="A127">
        <v>126</v>
      </c>
      <c r="B127" t="s">
        <v>61</v>
      </c>
      <c r="C127" t="s">
        <v>427</v>
      </c>
      <c r="D127">
        <v>30700</v>
      </c>
      <c r="E127" t="s">
        <v>8</v>
      </c>
      <c r="F127" t="s">
        <v>9</v>
      </c>
    </row>
    <row r="128" spans="1:6" x14ac:dyDescent="0.25">
      <c r="A128">
        <v>127</v>
      </c>
      <c r="B128" t="s">
        <v>250</v>
      </c>
      <c r="C128" t="s">
        <v>428</v>
      </c>
      <c r="D128">
        <v>40300</v>
      </c>
      <c r="E128" t="s">
        <v>38</v>
      </c>
      <c r="F128" t="s">
        <v>20</v>
      </c>
    </row>
    <row r="129" spans="1:6" x14ac:dyDescent="0.25">
      <c r="A129">
        <v>128</v>
      </c>
      <c r="B129" t="s">
        <v>169</v>
      </c>
      <c r="C129" t="s">
        <v>429</v>
      </c>
      <c r="D129">
        <v>29000</v>
      </c>
      <c r="E129" t="s">
        <v>8</v>
      </c>
      <c r="F129" t="s">
        <v>9</v>
      </c>
    </row>
    <row r="130" spans="1:6" x14ac:dyDescent="0.25">
      <c r="A130">
        <v>129</v>
      </c>
      <c r="B130" t="s">
        <v>366</v>
      </c>
      <c r="C130" t="s">
        <v>430</v>
      </c>
      <c r="D130">
        <v>8800</v>
      </c>
      <c r="E130" t="s">
        <v>8</v>
      </c>
      <c r="F130" t="s">
        <v>9</v>
      </c>
    </row>
    <row r="131" spans="1:6" x14ac:dyDescent="0.25">
      <c r="A131">
        <v>130</v>
      </c>
      <c r="B131" t="s">
        <v>277</v>
      </c>
      <c r="C131" t="s">
        <v>431</v>
      </c>
      <c r="D131">
        <v>86400</v>
      </c>
      <c r="E131" t="s">
        <v>8</v>
      </c>
      <c r="F131" t="s">
        <v>9</v>
      </c>
    </row>
    <row r="132" spans="1:6" x14ac:dyDescent="0.25">
      <c r="A132">
        <v>131</v>
      </c>
      <c r="B132" t="s">
        <v>173</v>
      </c>
      <c r="C132" t="s">
        <v>432</v>
      </c>
      <c r="D132">
        <v>26400</v>
      </c>
      <c r="E132" t="s">
        <v>8</v>
      </c>
      <c r="F132" t="s">
        <v>9</v>
      </c>
    </row>
    <row r="133" spans="1:6" x14ac:dyDescent="0.25">
      <c r="A133">
        <v>132</v>
      </c>
      <c r="B133" t="s">
        <v>366</v>
      </c>
      <c r="C133" t="s">
        <v>433</v>
      </c>
      <c r="D133">
        <v>64100</v>
      </c>
      <c r="E133" t="s">
        <v>8</v>
      </c>
      <c r="F133" t="s">
        <v>9</v>
      </c>
    </row>
    <row r="134" spans="1:6" x14ac:dyDescent="0.25">
      <c r="A134">
        <v>133</v>
      </c>
      <c r="B134" t="s">
        <v>396</v>
      </c>
      <c r="C134" t="s">
        <v>422</v>
      </c>
      <c r="D134">
        <v>34800</v>
      </c>
      <c r="E134" t="s">
        <v>8</v>
      </c>
      <c r="F134" t="s">
        <v>9</v>
      </c>
    </row>
    <row r="135" spans="1:6" x14ac:dyDescent="0.25">
      <c r="A135">
        <v>134</v>
      </c>
      <c r="B135" t="s">
        <v>259</v>
      </c>
      <c r="C135" t="s">
        <v>423</v>
      </c>
      <c r="D135">
        <v>56200</v>
      </c>
      <c r="E135" t="s">
        <v>38</v>
      </c>
      <c r="F135" t="s">
        <v>20</v>
      </c>
    </row>
    <row r="136" spans="1:6" x14ac:dyDescent="0.25">
      <c r="A136">
        <v>135</v>
      </c>
      <c r="B136" t="s">
        <v>331</v>
      </c>
      <c r="C136" t="s">
        <v>424</v>
      </c>
      <c r="D136">
        <v>161700</v>
      </c>
      <c r="E136" t="s">
        <v>8</v>
      </c>
      <c r="F136" t="s">
        <v>9</v>
      </c>
    </row>
    <row r="137" spans="1:6" x14ac:dyDescent="0.25">
      <c r="A137">
        <v>136</v>
      </c>
      <c r="B137" t="s">
        <v>266</v>
      </c>
      <c r="C137" t="s">
        <v>425</v>
      </c>
      <c r="D137">
        <v>5000</v>
      </c>
      <c r="E137" t="s">
        <v>8</v>
      </c>
      <c r="F137" t="s">
        <v>9</v>
      </c>
    </row>
    <row r="138" spans="1:6" x14ac:dyDescent="0.25">
      <c r="A138">
        <v>137</v>
      </c>
      <c r="B138" t="s">
        <v>253</v>
      </c>
      <c r="C138" t="s">
        <v>426</v>
      </c>
      <c r="D138">
        <v>34800</v>
      </c>
      <c r="E138" t="s">
        <v>8</v>
      </c>
      <c r="F138" t="s">
        <v>9</v>
      </c>
    </row>
    <row r="139" spans="1:6" x14ac:dyDescent="0.25">
      <c r="A139">
        <v>138</v>
      </c>
      <c r="B139" t="s">
        <v>77</v>
      </c>
      <c r="C139" t="s">
        <v>427</v>
      </c>
      <c r="D139">
        <v>18500</v>
      </c>
      <c r="E139" t="s">
        <v>38</v>
      </c>
      <c r="F139" t="s">
        <v>20</v>
      </c>
    </row>
    <row r="140" spans="1:6" x14ac:dyDescent="0.25">
      <c r="A140">
        <v>139</v>
      </c>
      <c r="B140" t="s">
        <v>278</v>
      </c>
      <c r="C140" t="s">
        <v>428</v>
      </c>
      <c r="D140">
        <v>26100</v>
      </c>
      <c r="E140" t="s">
        <v>8</v>
      </c>
      <c r="F140" t="s">
        <v>9</v>
      </c>
    </row>
    <row r="141" spans="1:6" x14ac:dyDescent="0.25">
      <c r="A141">
        <v>140</v>
      </c>
      <c r="B141" t="s">
        <v>338</v>
      </c>
      <c r="C141" t="s">
        <v>429</v>
      </c>
      <c r="D141">
        <v>13800</v>
      </c>
      <c r="E141" t="s">
        <v>8</v>
      </c>
      <c r="F141" t="s">
        <v>9</v>
      </c>
    </row>
    <row r="142" spans="1:6" x14ac:dyDescent="0.25">
      <c r="A142">
        <v>141</v>
      </c>
      <c r="B142" t="s">
        <v>51</v>
      </c>
      <c r="C142" t="s">
        <v>430</v>
      </c>
      <c r="D142">
        <v>42800</v>
      </c>
      <c r="E142" t="s">
        <v>23</v>
      </c>
      <c r="F142" t="s">
        <v>9</v>
      </c>
    </row>
    <row r="143" spans="1:6" x14ac:dyDescent="0.25">
      <c r="A143">
        <v>142</v>
      </c>
      <c r="B143" t="s">
        <v>227</v>
      </c>
      <c r="C143" t="s">
        <v>431</v>
      </c>
      <c r="D143">
        <v>64200</v>
      </c>
      <c r="E143" t="s">
        <v>8</v>
      </c>
      <c r="F143" t="s">
        <v>9</v>
      </c>
    </row>
    <row r="144" spans="1:6" x14ac:dyDescent="0.25">
      <c r="A144">
        <v>143</v>
      </c>
      <c r="B144" t="s">
        <v>193</v>
      </c>
      <c r="C144" t="s">
        <v>432</v>
      </c>
      <c r="D144">
        <v>16600</v>
      </c>
      <c r="E144" t="s">
        <v>8</v>
      </c>
      <c r="F144" t="s">
        <v>9</v>
      </c>
    </row>
    <row r="145" spans="1:6" x14ac:dyDescent="0.25">
      <c r="A145">
        <v>144</v>
      </c>
      <c r="B145" t="s">
        <v>195</v>
      </c>
      <c r="C145" t="s">
        <v>433</v>
      </c>
      <c r="D145">
        <v>11200</v>
      </c>
      <c r="E145" t="s">
        <v>8</v>
      </c>
      <c r="F145" t="s">
        <v>9</v>
      </c>
    </row>
    <row r="146" spans="1:6" x14ac:dyDescent="0.25">
      <c r="A146">
        <v>145</v>
      </c>
      <c r="B146" t="s">
        <v>174</v>
      </c>
      <c r="C146" t="s">
        <v>424</v>
      </c>
      <c r="D146">
        <v>500000</v>
      </c>
      <c r="E146" t="s">
        <v>8</v>
      </c>
      <c r="F146" t="s">
        <v>9</v>
      </c>
    </row>
    <row r="147" spans="1:6" x14ac:dyDescent="0.25">
      <c r="A147">
        <v>146</v>
      </c>
      <c r="B147" t="s">
        <v>210</v>
      </c>
      <c r="C147" t="s">
        <v>423</v>
      </c>
      <c r="D147">
        <v>47700</v>
      </c>
      <c r="E147" t="s">
        <v>8</v>
      </c>
      <c r="F147" t="s">
        <v>9</v>
      </c>
    </row>
    <row r="148" spans="1:6" x14ac:dyDescent="0.25">
      <c r="A148">
        <v>147</v>
      </c>
      <c r="B148" t="s">
        <v>353</v>
      </c>
      <c r="C148" t="s">
        <v>424</v>
      </c>
      <c r="D148">
        <v>8300</v>
      </c>
      <c r="E148" t="s">
        <v>8</v>
      </c>
      <c r="F148" t="s">
        <v>9</v>
      </c>
    </row>
    <row r="149" spans="1:6" x14ac:dyDescent="0.25">
      <c r="A149">
        <v>148</v>
      </c>
      <c r="B149" t="s">
        <v>345</v>
      </c>
      <c r="C149" t="s">
        <v>425</v>
      </c>
      <c r="D149">
        <v>82700</v>
      </c>
      <c r="E149" t="s">
        <v>8</v>
      </c>
      <c r="F149" t="s">
        <v>9</v>
      </c>
    </row>
    <row r="150" spans="1:6" x14ac:dyDescent="0.25">
      <c r="A150">
        <v>149</v>
      </c>
      <c r="B150" t="s">
        <v>239</v>
      </c>
      <c r="C150" t="s">
        <v>426</v>
      </c>
      <c r="D150">
        <v>8500</v>
      </c>
      <c r="E150" t="s">
        <v>8</v>
      </c>
      <c r="F150" t="s">
        <v>9</v>
      </c>
    </row>
    <row r="151" spans="1:6" x14ac:dyDescent="0.25">
      <c r="A151">
        <v>150</v>
      </c>
      <c r="B151" t="s">
        <v>161</v>
      </c>
      <c r="C151" t="s">
        <v>427</v>
      </c>
      <c r="D151">
        <v>74300</v>
      </c>
      <c r="E151" t="s">
        <v>8</v>
      </c>
      <c r="F151" t="s">
        <v>9</v>
      </c>
    </row>
    <row r="152" spans="1:6" x14ac:dyDescent="0.25">
      <c r="A152">
        <v>151</v>
      </c>
      <c r="B152" t="s">
        <v>194</v>
      </c>
      <c r="C152" t="s">
        <v>428</v>
      </c>
      <c r="D152">
        <v>7900</v>
      </c>
      <c r="E152" t="s">
        <v>8</v>
      </c>
      <c r="F152" t="s">
        <v>9</v>
      </c>
    </row>
    <row r="153" spans="1:6" x14ac:dyDescent="0.25">
      <c r="A153">
        <v>152</v>
      </c>
      <c r="B153" t="s">
        <v>335</v>
      </c>
      <c r="C153" t="s">
        <v>429</v>
      </c>
      <c r="D153">
        <v>5000</v>
      </c>
      <c r="E153" t="s">
        <v>8</v>
      </c>
      <c r="F153" t="s">
        <v>9</v>
      </c>
    </row>
    <row r="154" spans="1:6" x14ac:dyDescent="0.25">
      <c r="A154">
        <v>153</v>
      </c>
      <c r="B154" t="s">
        <v>346</v>
      </c>
      <c r="C154" t="s">
        <v>430</v>
      </c>
      <c r="D154">
        <v>42100</v>
      </c>
      <c r="E154" t="s">
        <v>8</v>
      </c>
      <c r="F154" t="s">
        <v>9</v>
      </c>
    </row>
    <row r="155" spans="1:6" x14ac:dyDescent="0.25">
      <c r="A155">
        <v>154</v>
      </c>
      <c r="B155" t="s">
        <v>259</v>
      </c>
      <c r="C155" t="s">
        <v>428</v>
      </c>
      <c r="D155">
        <v>0</v>
      </c>
      <c r="E155" t="s">
        <v>8</v>
      </c>
      <c r="F155" t="s">
        <v>9</v>
      </c>
    </row>
    <row r="156" spans="1:6" x14ac:dyDescent="0.25">
      <c r="A156">
        <v>155</v>
      </c>
      <c r="B156" t="s">
        <v>176</v>
      </c>
      <c r="C156" t="s">
        <v>432</v>
      </c>
      <c r="D156">
        <v>43700</v>
      </c>
      <c r="E156" t="s">
        <v>8</v>
      </c>
      <c r="F156" t="s">
        <v>9</v>
      </c>
    </row>
    <row r="157" spans="1:6" x14ac:dyDescent="0.25">
      <c r="A157">
        <v>156</v>
      </c>
      <c r="B157" t="s">
        <v>56</v>
      </c>
      <c r="C157" t="s">
        <v>433</v>
      </c>
      <c r="D157">
        <v>193100</v>
      </c>
      <c r="E157" t="s">
        <v>8</v>
      </c>
      <c r="F157" t="s">
        <v>9</v>
      </c>
    </row>
    <row r="158" spans="1:6" x14ac:dyDescent="0.25">
      <c r="A158">
        <v>157</v>
      </c>
      <c r="B158" t="s">
        <v>147</v>
      </c>
      <c r="C158" t="s">
        <v>422</v>
      </c>
      <c r="D158">
        <v>10500</v>
      </c>
      <c r="E158" t="s">
        <v>8</v>
      </c>
      <c r="F158" t="s">
        <v>9</v>
      </c>
    </row>
    <row r="159" spans="1:6" x14ac:dyDescent="0.25">
      <c r="A159">
        <v>158</v>
      </c>
      <c r="B159" t="s">
        <v>344</v>
      </c>
      <c r="C159" t="s">
        <v>423</v>
      </c>
      <c r="D159">
        <v>58500</v>
      </c>
      <c r="E159" t="s">
        <v>38</v>
      </c>
      <c r="F159" t="s">
        <v>20</v>
      </c>
    </row>
    <row r="160" spans="1:6" x14ac:dyDescent="0.25">
      <c r="A160">
        <v>159</v>
      </c>
      <c r="B160" t="s">
        <v>273</v>
      </c>
      <c r="C160" t="s">
        <v>424</v>
      </c>
      <c r="D160">
        <v>90000</v>
      </c>
      <c r="E160" t="s">
        <v>8</v>
      </c>
      <c r="F160" t="s">
        <v>9</v>
      </c>
    </row>
    <row r="161" spans="1:6" x14ac:dyDescent="0.25">
      <c r="A161">
        <v>160</v>
      </c>
      <c r="B161" t="s">
        <v>251</v>
      </c>
      <c r="C161" t="s">
        <v>425</v>
      </c>
      <c r="D161">
        <v>9900</v>
      </c>
      <c r="E161" t="s">
        <v>8</v>
      </c>
      <c r="F161" t="s">
        <v>9</v>
      </c>
    </row>
    <row r="162" spans="1:6" x14ac:dyDescent="0.25">
      <c r="A162">
        <v>161</v>
      </c>
      <c r="B162" t="s">
        <v>65</v>
      </c>
      <c r="C162" t="s">
        <v>426</v>
      </c>
      <c r="D162">
        <v>38300</v>
      </c>
      <c r="E162" t="s">
        <v>8</v>
      </c>
      <c r="F162" t="s">
        <v>9</v>
      </c>
    </row>
    <row r="163" spans="1:6" x14ac:dyDescent="0.25">
      <c r="A163">
        <v>162</v>
      </c>
      <c r="B163" t="s">
        <v>262</v>
      </c>
      <c r="C163" t="s">
        <v>427</v>
      </c>
      <c r="D163">
        <v>8300</v>
      </c>
      <c r="E163" t="s">
        <v>8</v>
      </c>
      <c r="F163" t="s">
        <v>9</v>
      </c>
    </row>
    <row r="164" spans="1:6" x14ac:dyDescent="0.25">
      <c r="A164">
        <v>163</v>
      </c>
      <c r="B164" t="s">
        <v>177</v>
      </c>
      <c r="C164" t="s">
        <v>428</v>
      </c>
      <c r="D164">
        <v>49500</v>
      </c>
      <c r="E164" t="s">
        <v>8</v>
      </c>
      <c r="F164" t="s">
        <v>9</v>
      </c>
    </row>
    <row r="165" spans="1:6" x14ac:dyDescent="0.25">
      <c r="A165">
        <v>164</v>
      </c>
      <c r="B165" t="s">
        <v>321</v>
      </c>
      <c r="C165" t="s">
        <v>429</v>
      </c>
      <c r="D165">
        <v>136300</v>
      </c>
      <c r="E165" t="s">
        <v>8</v>
      </c>
      <c r="F165" t="s">
        <v>9</v>
      </c>
    </row>
    <row r="166" spans="1:6" x14ac:dyDescent="0.25">
      <c r="A166">
        <v>165</v>
      </c>
      <c r="B166" t="s">
        <v>93</v>
      </c>
      <c r="C166" t="s">
        <v>430</v>
      </c>
      <c r="D166">
        <v>24100</v>
      </c>
      <c r="E166" t="s">
        <v>8</v>
      </c>
      <c r="F166" t="s">
        <v>9</v>
      </c>
    </row>
    <row r="167" spans="1:6" x14ac:dyDescent="0.25">
      <c r="A167">
        <v>166</v>
      </c>
      <c r="B167" t="s">
        <v>258</v>
      </c>
      <c r="C167" t="s">
        <v>431</v>
      </c>
      <c r="D167">
        <v>10600</v>
      </c>
      <c r="E167" t="s">
        <v>8</v>
      </c>
      <c r="F167" t="s">
        <v>20</v>
      </c>
    </row>
    <row r="168" spans="1:6" x14ac:dyDescent="0.25">
      <c r="A168">
        <v>167</v>
      </c>
      <c r="B168" t="s">
        <v>272</v>
      </c>
      <c r="C168" t="s">
        <v>432</v>
      </c>
      <c r="D168">
        <v>26800</v>
      </c>
      <c r="E168" t="s">
        <v>8</v>
      </c>
      <c r="F168" t="s">
        <v>9</v>
      </c>
    </row>
    <row r="169" spans="1:6" x14ac:dyDescent="0.25">
      <c r="A169">
        <v>168</v>
      </c>
      <c r="B169" t="s">
        <v>132</v>
      </c>
      <c r="C169" t="s">
        <v>433</v>
      </c>
      <c r="D169">
        <v>26000</v>
      </c>
      <c r="E169" t="s">
        <v>8</v>
      </c>
      <c r="F169" t="s">
        <v>9</v>
      </c>
    </row>
    <row r="170" spans="1:6" x14ac:dyDescent="0.25">
      <c r="A170">
        <v>169</v>
      </c>
      <c r="B170" t="s">
        <v>328</v>
      </c>
      <c r="C170" t="s">
        <v>422</v>
      </c>
      <c r="D170">
        <v>31000</v>
      </c>
      <c r="E170" t="s">
        <v>8</v>
      </c>
      <c r="F170" t="s">
        <v>9</v>
      </c>
    </row>
    <row r="171" spans="1:6" x14ac:dyDescent="0.25">
      <c r="A171">
        <v>170</v>
      </c>
      <c r="B171" t="s">
        <v>16</v>
      </c>
      <c r="C171" t="s">
        <v>423</v>
      </c>
      <c r="D171">
        <v>57100</v>
      </c>
      <c r="E171" t="s">
        <v>8</v>
      </c>
      <c r="F171" t="s">
        <v>9</v>
      </c>
    </row>
    <row r="172" spans="1:6" x14ac:dyDescent="0.25">
      <c r="A172">
        <v>171</v>
      </c>
      <c r="B172" t="s">
        <v>220</v>
      </c>
      <c r="C172" t="s">
        <v>424</v>
      </c>
      <c r="D172">
        <v>26100</v>
      </c>
      <c r="E172" t="s">
        <v>8</v>
      </c>
      <c r="F172" t="s">
        <v>9</v>
      </c>
    </row>
    <row r="173" spans="1:6" x14ac:dyDescent="0.25">
      <c r="A173">
        <v>172</v>
      </c>
      <c r="B173" t="s">
        <v>121</v>
      </c>
      <c r="C173" t="s">
        <v>425</v>
      </c>
      <c r="D173">
        <v>5000</v>
      </c>
      <c r="E173" t="s">
        <v>8</v>
      </c>
      <c r="F173" t="s">
        <v>9</v>
      </c>
    </row>
    <row r="174" spans="1:6" x14ac:dyDescent="0.25">
      <c r="A174">
        <v>173</v>
      </c>
      <c r="B174" t="s">
        <v>229</v>
      </c>
      <c r="C174" t="s">
        <v>426</v>
      </c>
      <c r="D174">
        <v>18400</v>
      </c>
      <c r="E174" t="s">
        <v>8</v>
      </c>
      <c r="F174" t="s">
        <v>9</v>
      </c>
    </row>
    <row r="175" spans="1:6" x14ac:dyDescent="0.25">
      <c r="A175">
        <v>174</v>
      </c>
      <c r="B175" t="s">
        <v>185</v>
      </c>
      <c r="C175" t="s">
        <v>427</v>
      </c>
      <c r="D175">
        <v>81300</v>
      </c>
      <c r="E175" t="s">
        <v>8</v>
      </c>
      <c r="F175" t="s">
        <v>9</v>
      </c>
    </row>
    <row r="176" spans="1:6" x14ac:dyDescent="0.25">
      <c r="A176">
        <v>175</v>
      </c>
      <c r="B176" t="s">
        <v>362</v>
      </c>
      <c r="C176" t="s">
        <v>428</v>
      </c>
      <c r="D176">
        <v>92400</v>
      </c>
      <c r="E176" t="s">
        <v>8</v>
      </c>
      <c r="F176" t="s">
        <v>9</v>
      </c>
    </row>
    <row r="177" spans="1:6" x14ac:dyDescent="0.25">
      <c r="A177">
        <v>176</v>
      </c>
      <c r="B177" t="s">
        <v>285</v>
      </c>
      <c r="C177" t="s">
        <v>429</v>
      </c>
      <c r="D177">
        <v>92700</v>
      </c>
      <c r="E177" t="s">
        <v>8</v>
      </c>
      <c r="F177" t="s">
        <v>9</v>
      </c>
    </row>
    <row r="178" spans="1:6" x14ac:dyDescent="0.25">
      <c r="A178">
        <v>177</v>
      </c>
      <c r="B178" t="s">
        <v>307</v>
      </c>
      <c r="C178" t="s">
        <v>430</v>
      </c>
      <c r="D178">
        <v>15400</v>
      </c>
      <c r="E178" t="s">
        <v>23</v>
      </c>
      <c r="F178" t="s">
        <v>9</v>
      </c>
    </row>
    <row r="179" spans="1:6" x14ac:dyDescent="0.25">
      <c r="A179">
        <v>178</v>
      </c>
      <c r="B179" t="s">
        <v>308</v>
      </c>
      <c r="C179" t="s">
        <v>431</v>
      </c>
      <c r="D179">
        <v>12700</v>
      </c>
      <c r="E179" t="s">
        <v>8</v>
      </c>
      <c r="F179" t="s">
        <v>9</v>
      </c>
    </row>
    <row r="180" spans="1:6" x14ac:dyDescent="0.25">
      <c r="A180">
        <v>179</v>
      </c>
      <c r="B180" t="s">
        <v>419</v>
      </c>
      <c r="C180" t="s">
        <v>432</v>
      </c>
      <c r="D180">
        <v>139300</v>
      </c>
      <c r="E180" t="s">
        <v>8</v>
      </c>
      <c r="F180" t="s">
        <v>9</v>
      </c>
    </row>
    <row r="181" spans="1:6" x14ac:dyDescent="0.25">
      <c r="A181">
        <v>180</v>
      </c>
      <c r="B181" t="s">
        <v>14</v>
      </c>
      <c r="C181" t="s">
        <v>433</v>
      </c>
      <c r="D181">
        <v>65900</v>
      </c>
      <c r="E181" t="s">
        <v>8</v>
      </c>
      <c r="F181" t="s">
        <v>9</v>
      </c>
    </row>
    <row r="182" spans="1:6" x14ac:dyDescent="0.25">
      <c r="A182">
        <v>181</v>
      </c>
      <c r="B182" t="s">
        <v>210</v>
      </c>
      <c r="C182" t="s">
        <v>422</v>
      </c>
      <c r="D182">
        <v>148100</v>
      </c>
      <c r="E182" t="s">
        <v>8</v>
      </c>
      <c r="F182" t="s">
        <v>9</v>
      </c>
    </row>
    <row r="183" spans="1:6" x14ac:dyDescent="0.25">
      <c r="A183">
        <v>182</v>
      </c>
      <c r="B183" t="s">
        <v>262</v>
      </c>
      <c r="C183" t="s">
        <v>423</v>
      </c>
      <c r="D183">
        <v>19500</v>
      </c>
      <c r="E183" t="s">
        <v>8</v>
      </c>
      <c r="F183" t="s">
        <v>9</v>
      </c>
    </row>
    <row r="184" spans="1:6" x14ac:dyDescent="0.25">
      <c r="A184">
        <v>183</v>
      </c>
      <c r="B184" t="s">
        <v>86</v>
      </c>
      <c r="C184" t="s">
        <v>424</v>
      </c>
      <c r="D184">
        <v>48500</v>
      </c>
      <c r="E184" t="s">
        <v>8</v>
      </c>
      <c r="F184" t="s">
        <v>9</v>
      </c>
    </row>
    <row r="185" spans="1:6" x14ac:dyDescent="0.25">
      <c r="A185">
        <v>184</v>
      </c>
      <c r="B185" t="s">
        <v>87</v>
      </c>
      <c r="C185" t="s">
        <v>425</v>
      </c>
      <c r="D185">
        <v>78800</v>
      </c>
      <c r="E185" t="s">
        <v>8</v>
      </c>
      <c r="F185" t="s">
        <v>9</v>
      </c>
    </row>
    <row r="186" spans="1:6" x14ac:dyDescent="0.25">
      <c r="A186">
        <v>185</v>
      </c>
      <c r="B186" t="s">
        <v>167</v>
      </c>
      <c r="C186" t="s">
        <v>426</v>
      </c>
      <c r="D186">
        <v>64400</v>
      </c>
      <c r="E186" t="s">
        <v>8</v>
      </c>
      <c r="F186" t="s">
        <v>9</v>
      </c>
    </row>
    <row r="187" spans="1:6" x14ac:dyDescent="0.25">
      <c r="A187">
        <v>186</v>
      </c>
      <c r="B187" t="s">
        <v>6</v>
      </c>
      <c r="C187" t="s">
        <v>427</v>
      </c>
      <c r="D187">
        <v>342500</v>
      </c>
      <c r="E187" t="s">
        <v>8</v>
      </c>
      <c r="F187" t="s">
        <v>9</v>
      </c>
    </row>
    <row r="188" spans="1:6" x14ac:dyDescent="0.25">
      <c r="A188">
        <v>187</v>
      </c>
      <c r="B188" t="s">
        <v>369</v>
      </c>
      <c r="C188" t="s">
        <v>428</v>
      </c>
      <c r="D188">
        <v>7000</v>
      </c>
      <c r="E188" t="s">
        <v>8</v>
      </c>
      <c r="F188" t="s">
        <v>9</v>
      </c>
    </row>
    <row r="189" spans="1:6" x14ac:dyDescent="0.25">
      <c r="A189">
        <v>188</v>
      </c>
      <c r="B189" t="s">
        <v>316</v>
      </c>
      <c r="C189" t="s">
        <v>429</v>
      </c>
      <c r="D189">
        <v>27100</v>
      </c>
      <c r="E189" t="s">
        <v>8</v>
      </c>
      <c r="F189" t="s">
        <v>9</v>
      </c>
    </row>
    <row r="190" spans="1:6" x14ac:dyDescent="0.25">
      <c r="A190">
        <v>189</v>
      </c>
      <c r="B190" t="s">
        <v>94</v>
      </c>
      <c r="C190" t="s">
        <v>430</v>
      </c>
      <c r="D190">
        <v>72600</v>
      </c>
      <c r="E190" t="s">
        <v>8</v>
      </c>
      <c r="F190" t="s">
        <v>9</v>
      </c>
    </row>
    <row r="191" spans="1:6" x14ac:dyDescent="0.25">
      <c r="A191">
        <v>190</v>
      </c>
      <c r="B191" t="s">
        <v>327</v>
      </c>
      <c r="C191" t="s">
        <v>431</v>
      </c>
      <c r="D191">
        <v>5400</v>
      </c>
      <c r="E191" t="s">
        <v>8</v>
      </c>
      <c r="F191" t="s">
        <v>9</v>
      </c>
    </row>
    <row r="192" spans="1:6" x14ac:dyDescent="0.25">
      <c r="A192">
        <v>191</v>
      </c>
      <c r="B192" t="s">
        <v>91</v>
      </c>
      <c r="C192" t="s">
        <v>432</v>
      </c>
      <c r="D192">
        <v>33500</v>
      </c>
      <c r="E192" t="s">
        <v>8</v>
      </c>
      <c r="F192" t="s">
        <v>9</v>
      </c>
    </row>
    <row r="193" spans="1:6" x14ac:dyDescent="0.25">
      <c r="A193">
        <v>192</v>
      </c>
      <c r="B193" t="s">
        <v>50</v>
      </c>
      <c r="C193" t="s">
        <v>433</v>
      </c>
      <c r="D193">
        <v>5400</v>
      </c>
      <c r="E193" t="s">
        <v>8</v>
      </c>
      <c r="F193" t="s">
        <v>9</v>
      </c>
    </row>
    <row r="194" spans="1:6" x14ac:dyDescent="0.25">
      <c r="A194">
        <v>193</v>
      </c>
      <c r="B194" t="s">
        <v>65</v>
      </c>
      <c r="C194" t="s">
        <v>422</v>
      </c>
      <c r="D194">
        <v>73700</v>
      </c>
      <c r="E194" t="s">
        <v>8</v>
      </c>
      <c r="F194" t="s">
        <v>9</v>
      </c>
    </row>
    <row r="195" spans="1:6" x14ac:dyDescent="0.25">
      <c r="A195">
        <v>194</v>
      </c>
      <c r="B195" t="s">
        <v>238</v>
      </c>
      <c r="C195" t="s">
        <v>423</v>
      </c>
      <c r="D195">
        <v>37000</v>
      </c>
      <c r="E195" t="s">
        <v>8</v>
      </c>
      <c r="F195" t="s">
        <v>9</v>
      </c>
    </row>
    <row r="196" spans="1:6" x14ac:dyDescent="0.25">
      <c r="A196">
        <v>195</v>
      </c>
      <c r="B196" t="s">
        <v>140</v>
      </c>
      <c r="C196" t="s">
        <v>424</v>
      </c>
      <c r="D196">
        <v>63100</v>
      </c>
      <c r="E196" t="s">
        <v>8</v>
      </c>
      <c r="F196" t="s">
        <v>9</v>
      </c>
    </row>
    <row r="197" spans="1:6" x14ac:dyDescent="0.25">
      <c r="A197">
        <v>196</v>
      </c>
      <c r="B197" t="s">
        <v>370</v>
      </c>
      <c r="C197" t="s">
        <v>425</v>
      </c>
      <c r="D197">
        <v>158900</v>
      </c>
      <c r="E197" t="s">
        <v>8</v>
      </c>
      <c r="F197" t="s">
        <v>9</v>
      </c>
    </row>
    <row r="198" spans="1:6" x14ac:dyDescent="0.25">
      <c r="A198">
        <v>197</v>
      </c>
      <c r="B198" t="s">
        <v>76</v>
      </c>
      <c r="C198" t="s">
        <v>426</v>
      </c>
      <c r="D198">
        <v>147100</v>
      </c>
      <c r="E198" t="s">
        <v>38</v>
      </c>
      <c r="F198" t="s">
        <v>9</v>
      </c>
    </row>
    <row r="199" spans="1:6" x14ac:dyDescent="0.25">
      <c r="A199">
        <v>198</v>
      </c>
      <c r="B199" t="s">
        <v>91</v>
      </c>
      <c r="C199" t="s">
        <v>427</v>
      </c>
      <c r="D199">
        <v>8000</v>
      </c>
      <c r="E199" t="s">
        <v>8</v>
      </c>
      <c r="F199" t="s">
        <v>9</v>
      </c>
    </row>
    <row r="200" spans="1:6" x14ac:dyDescent="0.25">
      <c r="A200">
        <v>199</v>
      </c>
      <c r="B200" t="s">
        <v>289</v>
      </c>
      <c r="C200" t="s">
        <v>428</v>
      </c>
      <c r="D200">
        <v>18400</v>
      </c>
      <c r="E200" t="s">
        <v>8</v>
      </c>
      <c r="F200" t="s">
        <v>9</v>
      </c>
    </row>
    <row r="201" spans="1:6" x14ac:dyDescent="0.25">
      <c r="A201">
        <v>200</v>
      </c>
      <c r="B201" t="s">
        <v>273</v>
      </c>
      <c r="C201" t="s">
        <v>429</v>
      </c>
      <c r="D201">
        <v>19100</v>
      </c>
      <c r="E201" t="s">
        <v>8</v>
      </c>
      <c r="F201" t="s">
        <v>9</v>
      </c>
    </row>
    <row r="202" spans="1:6" x14ac:dyDescent="0.25">
      <c r="A202">
        <v>201</v>
      </c>
      <c r="B202" t="s">
        <v>364</v>
      </c>
      <c r="C202" t="s">
        <v>430</v>
      </c>
      <c r="D202">
        <v>30400</v>
      </c>
      <c r="E202" t="s">
        <v>8</v>
      </c>
      <c r="F202" t="s">
        <v>9</v>
      </c>
    </row>
    <row r="203" spans="1:6" x14ac:dyDescent="0.25">
      <c r="A203">
        <v>202</v>
      </c>
      <c r="B203" t="s">
        <v>197</v>
      </c>
      <c r="C203" t="s">
        <v>431</v>
      </c>
      <c r="D203">
        <v>22000</v>
      </c>
      <c r="E203" t="s">
        <v>8</v>
      </c>
      <c r="F203" t="s">
        <v>9</v>
      </c>
    </row>
    <row r="204" spans="1:6" x14ac:dyDescent="0.25">
      <c r="A204">
        <v>203</v>
      </c>
      <c r="B204" t="s">
        <v>326</v>
      </c>
      <c r="C204" t="s">
        <v>432</v>
      </c>
      <c r="D204">
        <v>27100</v>
      </c>
      <c r="E204" t="s">
        <v>8</v>
      </c>
      <c r="F204" t="s">
        <v>9</v>
      </c>
    </row>
    <row r="205" spans="1:6" x14ac:dyDescent="0.25">
      <c r="A205">
        <v>204</v>
      </c>
      <c r="B205" t="s">
        <v>327</v>
      </c>
      <c r="C205" t="s">
        <v>433</v>
      </c>
      <c r="D205">
        <v>5000</v>
      </c>
      <c r="E205" t="s">
        <v>8</v>
      </c>
      <c r="F205" t="s">
        <v>9</v>
      </c>
    </row>
    <row r="206" spans="1:6" x14ac:dyDescent="0.25">
      <c r="A206">
        <v>205</v>
      </c>
      <c r="B206" t="s">
        <v>125</v>
      </c>
      <c r="C206" t="s">
        <v>422</v>
      </c>
      <c r="D206">
        <v>18200</v>
      </c>
      <c r="E206" t="s">
        <v>8</v>
      </c>
      <c r="F206" t="s">
        <v>9</v>
      </c>
    </row>
    <row r="207" spans="1:6" x14ac:dyDescent="0.25">
      <c r="A207">
        <v>206</v>
      </c>
      <c r="B207" t="s">
        <v>357</v>
      </c>
      <c r="C207" t="s">
        <v>423</v>
      </c>
      <c r="D207">
        <v>282500</v>
      </c>
      <c r="E207" t="s">
        <v>8</v>
      </c>
      <c r="F207" t="s">
        <v>9</v>
      </c>
    </row>
    <row r="208" spans="1:6" x14ac:dyDescent="0.25">
      <c r="A208">
        <v>207</v>
      </c>
      <c r="B208" t="s">
        <v>237</v>
      </c>
      <c r="C208" t="s">
        <v>424</v>
      </c>
      <c r="D208">
        <v>5000</v>
      </c>
      <c r="E208" t="s">
        <v>8</v>
      </c>
      <c r="F208" t="s">
        <v>9</v>
      </c>
    </row>
    <row r="209" spans="1:6" x14ac:dyDescent="0.25">
      <c r="A209">
        <v>208</v>
      </c>
      <c r="B209" t="s">
        <v>127</v>
      </c>
      <c r="C209" t="s">
        <v>425</v>
      </c>
      <c r="D209">
        <v>65200</v>
      </c>
      <c r="E209" t="s">
        <v>38</v>
      </c>
      <c r="F209" t="s">
        <v>20</v>
      </c>
    </row>
    <row r="210" spans="1:6" x14ac:dyDescent="0.25">
      <c r="A210">
        <v>209</v>
      </c>
      <c r="B210" t="s">
        <v>373</v>
      </c>
      <c r="C210" t="s">
        <v>426</v>
      </c>
      <c r="D210">
        <v>49800</v>
      </c>
      <c r="E210" t="s">
        <v>8</v>
      </c>
      <c r="F210" t="s">
        <v>9</v>
      </c>
    </row>
    <row r="211" spans="1:6" x14ac:dyDescent="0.25">
      <c r="A211">
        <v>210</v>
      </c>
      <c r="B211" t="s">
        <v>192</v>
      </c>
      <c r="C211" t="s">
        <v>427</v>
      </c>
      <c r="D211">
        <v>272900</v>
      </c>
      <c r="E211" t="s">
        <v>8</v>
      </c>
      <c r="F211" t="s">
        <v>9</v>
      </c>
    </row>
    <row r="212" spans="1:6" x14ac:dyDescent="0.25">
      <c r="A212">
        <v>211</v>
      </c>
      <c r="B212" t="s">
        <v>323</v>
      </c>
      <c r="C212" t="s">
        <v>428</v>
      </c>
      <c r="D212">
        <v>34000</v>
      </c>
      <c r="E212" t="s">
        <v>8</v>
      </c>
      <c r="F212" t="s">
        <v>20</v>
      </c>
    </row>
    <row r="213" spans="1:6" x14ac:dyDescent="0.25">
      <c r="A213">
        <v>212</v>
      </c>
      <c r="B213" t="s">
        <v>338</v>
      </c>
      <c r="C213" t="s">
        <v>429</v>
      </c>
      <c r="D213">
        <v>21900</v>
      </c>
      <c r="E213" t="s">
        <v>38</v>
      </c>
      <c r="F213" t="s">
        <v>20</v>
      </c>
    </row>
    <row r="214" spans="1:6" x14ac:dyDescent="0.25">
      <c r="A214">
        <v>213</v>
      </c>
      <c r="B214" t="s">
        <v>71</v>
      </c>
      <c r="C214" t="s">
        <v>430</v>
      </c>
      <c r="D214">
        <v>41100</v>
      </c>
      <c r="E214" t="s">
        <v>8</v>
      </c>
      <c r="F214" t="s">
        <v>9</v>
      </c>
    </row>
    <row r="215" spans="1:6" x14ac:dyDescent="0.25">
      <c r="A215">
        <v>214</v>
      </c>
      <c r="B215" t="s">
        <v>78</v>
      </c>
      <c r="C215" t="s">
        <v>431</v>
      </c>
      <c r="D215">
        <v>13000</v>
      </c>
      <c r="E215" t="s">
        <v>8</v>
      </c>
      <c r="F215" t="s">
        <v>9</v>
      </c>
    </row>
    <row r="216" spans="1:6" x14ac:dyDescent="0.25">
      <c r="A216">
        <v>215</v>
      </c>
      <c r="B216" t="s">
        <v>398</v>
      </c>
      <c r="C216" t="s">
        <v>432</v>
      </c>
      <c r="D216">
        <v>15300</v>
      </c>
      <c r="E216" t="s">
        <v>8</v>
      </c>
      <c r="F216" t="s">
        <v>9</v>
      </c>
    </row>
    <row r="217" spans="1:6" x14ac:dyDescent="0.25">
      <c r="A217">
        <v>216</v>
      </c>
      <c r="B217" t="s">
        <v>313</v>
      </c>
      <c r="C217" t="s">
        <v>433</v>
      </c>
      <c r="D217">
        <v>100600</v>
      </c>
      <c r="E217" t="s">
        <v>8</v>
      </c>
      <c r="F217" t="s">
        <v>9</v>
      </c>
    </row>
    <row r="218" spans="1:6" x14ac:dyDescent="0.25">
      <c r="A218">
        <v>217</v>
      </c>
      <c r="B218" t="s">
        <v>105</v>
      </c>
      <c r="C218" t="s">
        <v>422</v>
      </c>
      <c r="D218">
        <v>95700</v>
      </c>
      <c r="E218" t="s">
        <v>8</v>
      </c>
      <c r="F218" t="s">
        <v>9</v>
      </c>
    </row>
    <row r="219" spans="1:6" x14ac:dyDescent="0.25">
      <c r="A219">
        <v>218</v>
      </c>
      <c r="B219" t="s">
        <v>292</v>
      </c>
      <c r="C219" t="s">
        <v>426</v>
      </c>
      <c r="D219">
        <v>410000</v>
      </c>
      <c r="E219" t="s">
        <v>8</v>
      </c>
      <c r="F219" t="s">
        <v>9</v>
      </c>
    </row>
    <row r="220" spans="1:6" x14ac:dyDescent="0.25">
      <c r="A220">
        <v>219</v>
      </c>
      <c r="B220" t="s">
        <v>152</v>
      </c>
      <c r="C220" t="s">
        <v>424</v>
      </c>
      <c r="D220">
        <v>55200</v>
      </c>
      <c r="E220" t="s">
        <v>8</v>
      </c>
      <c r="F220" t="s">
        <v>9</v>
      </c>
    </row>
    <row r="221" spans="1:6" x14ac:dyDescent="0.25">
      <c r="A221">
        <v>220</v>
      </c>
      <c r="B221" t="s">
        <v>10</v>
      </c>
      <c r="C221" t="s">
        <v>425</v>
      </c>
      <c r="D221">
        <v>33500</v>
      </c>
      <c r="E221" t="s">
        <v>8</v>
      </c>
      <c r="F221" t="s">
        <v>9</v>
      </c>
    </row>
    <row r="222" spans="1:6" x14ac:dyDescent="0.25">
      <c r="A222">
        <v>221</v>
      </c>
      <c r="B222" t="s">
        <v>114</v>
      </c>
      <c r="C222" t="s">
        <v>426</v>
      </c>
      <c r="D222">
        <v>14200</v>
      </c>
      <c r="E222" t="s">
        <v>8</v>
      </c>
      <c r="F222" t="s">
        <v>9</v>
      </c>
    </row>
    <row r="223" spans="1:6" x14ac:dyDescent="0.25">
      <c r="A223">
        <v>222</v>
      </c>
      <c r="B223" t="s">
        <v>151</v>
      </c>
      <c r="C223" t="s">
        <v>427</v>
      </c>
      <c r="D223">
        <v>144700</v>
      </c>
      <c r="E223" t="s">
        <v>8</v>
      </c>
      <c r="F223" t="s">
        <v>9</v>
      </c>
    </row>
    <row r="224" spans="1:6" x14ac:dyDescent="0.25">
      <c r="A224">
        <v>223</v>
      </c>
      <c r="B224" t="s">
        <v>325</v>
      </c>
      <c r="C224" t="s">
        <v>428</v>
      </c>
      <c r="D224">
        <v>61500</v>
      </c>
      <c r="E224" t="s">
        <v>8</v>
      </c>
      <c r="F224" t="s">
        <v>9</v>
      </c>
    </row>
    <row r="225" spans="1:6" x14ac:dyDescent="0.25">
      <c r="A225">
        <v>224</v>
      </c>
      <c r="B225" t="s">
        <v>119</v>
      </c>
      <c r="C225" t="s">
        <v>429</v>
      </c>
      <c r="D225">
        <v>14000</v>
      </c>
      <c r="E225" t="s">
        <v>8</v>
      </c>
      <c r="F225" t="s">
        <v>9</v>
      </c>
    </row>
    <row r="226" spans="1:6" x14ac:dyDescent="0.25">
      <c r="A226">
        <v>225</v>
      </c>
      <c r="B226" t="s">
        <v>203</v>
      </c>
      <c r="C226" t="s">
        <v>430</v>
      </c>
      <c r="D226">
        <v>6900</v>
      </c>
      <c r="E226" t="s">
        <v>38</v>
      </c>
      <c r="F226" t="s">
        <v>20</v>
      </c>
    </row>
    <row r="227" spans="1:6" x14ac:dyDescent="0.25">
      <c r="A227">
        <v>226</v>
      </c>
      <c r="B227" t="s">
        <v>360</v>
      </c>
      <c r="C227" t="s">
        <v>431</v>
      </c>
      <c r="D227">
        <v>12000</v>
      </c>
      <c r="E227" t="s">
        <v>38</v>
      </c>
      <c r="F227" t="s">
        <v>20</v>
      </c>
    </row>
    <row r="228" spans="1:6" x14ac:dyDescent="0.25">
      <c r="A228">
        <v>227</v>
      </c>
      <c r="B228" t="s">
        <v>207</v>
      </c>
      <c r="C228" t="s">
        <v>432</v>
      </c>
      <c r="D228">
        <v>107300</v>
      </c>
      <c r="E228" t="s">
        <v>8</v>
      </c>
      <c r="F228" t="s">
        <v>9</v>
      </c>
    </row>
    <row r="229" spans="1:6" x14ac:dyDescent="0.25">
      <c r="A229">
        <v>228</v>
      </c>
      <c r="B229" t="s">
        <v>390</v>
      </c>
      <c r="C229" t="s">
        <v>433</v>
      </c>
      <c r="D229">
        <v>13900</v>
      </c>
      <c r="E229" t="s">
        <v>8</v>
      </c>
      <c r="F229" t="s">
        <v>9</v>
      </c>
    </row>
    <row r="230" spans="1:6" x14ac:dyDescent="0.25">
      <c r="A230">
        <v>229</v>
      </c>
      <c r="B230" t="s">
        <v>389</v>
      </c>
      <c r="C230" t="s">
        <v>422</v>
      </c>
      <c r="D230">
        <v>18400</v>
      </c>
      <c r="E230" t="s">
        <v>8</v>
      </c>
      <c r="F230" t="s">
        <v>9</v>
      </c>
    </row>
    <row r="231" spans="1:6" x14ac:dyDescent="0.25">
      <c r="A231">
        <v>230</v>
      </c>
      <c r="B231" t="s">
        <v>245</v>
      </c>
      <c r="C231" t="s">
        <v>423</v>
      </c>
      <c r="D231">
        <v>272700</v>
      </c>
      <c r="E231" t="s">
        <v>8</v>
      </c>
      <c r="F231" t="s">
        <v>9</v>
      </c>
    </row>
    <row r="232" spans="1:6" x14ac:dyDescent="0.25">
      <c r="A232">
        <v>231</v>
      </c>
      <c r="B232" t="s">
        <v>220</v>
      </c>
      <c r="C232" t="s">
        <v>424</v>
      </c>
      <c r="D232">
        <v>21200</v>
      </c>
      <c r="E232" t="s">
        <v>8</v>
      </c>
      <c r="F232" t="s">
        <v>9</v>
      </c>
    </row>
    <row r="233" spans="1:6" x14ac:dyDescent="0.25">
      <c r="A233">
        <v>232</v>
      </c>
      <c r="B233" t="s">
        <v>219</v>
      </c>
      <c r="C233" t="s">
        <v>425</v>
      </c>
      <c r="D233">
        <v>58100</v>
      </c>
      <c r="E233" t="s">
        <v>8</v>
      </c>
      <c r="F233" t="s">
        <v>20</v>
      </c>
    </row>
    <row r="234" spans="1:6" x14ac:dyDescent="0.25">
      <c r="A234">
        <v>233</v>
      </c>
      <c r="B234" t="s">
        <v>120</v>
      </c>
      <c r="C234" t="s">
        <v>426</v>
      </c>
      <c r="D234">
        <v>223700</v>
      </c>
      <c r="E234" t="s">
        <v>8</v>
      </c>
      <c r="F234" t="s">
        <v>9</v>
      </c>
    </row>
    <row r="235" spans="1:6" x14ac:dyDescent="0.25">
      <c r="A235">
        <v>234</v>
      </c>
      <c r="B235" t="s">
        <v>397</v>
      </c>
      <c r="C235" t="s">
        <v>427</v>
      </c>
      <c r="D235">
        <v>50800</v>
      </c>
      <c r="E235" t="s">
        <v>8</v>
      </c>
      <c r="F235" t="s">
        <v>9</v>
      </c>
    </row>
    <row r="236" spans="1:6" x14ac:dyDescent="0.25">
      <c r="A236">
        <v>235</v>
      </c>
      <c r="B236" t="s">
        <v>65</v>
      </c>
      <c r="C236" t="s">
        <v>428</v>
      </c>
      <c r="D236">
        <v>27800</v>
      </c>
      <c r="E236" t="s">
        <v>8</v>
      </c>
      <c r="F236" t="s">
        <v>9</v>
      </c>
    </row>
    <row r="237" spans="1:6" x14ac:dyDescent="0.25">
      <c r="A237">
        <v>236</v>
      </c>
      <c r="B237" t="s">
        <v>271</v>
      </c>
      <c r="C237" t="s">
        <v>429</v>
      </c>
      <c r="D237">
        <v>103900</v>
      </c>
      <c r="E237" t="s">
        <v>8</v>
      </c>
      <c r="F237" t="s">
        <v>9</v>
      </c>
    </row>
    <row r="238" spans="1:6" x14ac:dyDescent="0.25">
      <c r="A238">
        <v>237</v>
      </c>
      <c r="B238" t="s">
        <v>53</v>
      </c>
      <c r="C238" t="s">
        <v>430</v>
      </c>
      <c r="D238">
        <v>19600</v>
      </c>
      <c r="E238" t="s">
        <v>8</v>
      </c>
      <c r="F238" t="s">
        <v>9</v>
      </c>
    </row>
    <row r="239" spans="1:6" x14ac:dyDescent="0.25">
      <c r="A239">
        <v>238</v>
      </c>
      <c r="B239" t="s">
        <v>359</v>
      </c>
      <c r="C239" t="s">
        <v>431</v>
      </c>
      <c r="D239">
        <v>9800</v>
      </c>
      <c r="E239" t="s">
        <v>8</v>
      </c>
      <c r="F239" t="s">
        <v>9</v>
      </c>
    </row>
    <row r="240" spans="1:6" x14ac:dyDescent="0.25">
      <c r="A240">
        <v>239</v>
      </c>
      <c r="B240" t="s">
        <v>187</v>
      </c>
      <c r="C240" t="s">
        <v>432</v>
      </c>
      <c r="D240">
        <v>81100</v>
      </c>
      <c r="E240" t="s">
        <v>8</v>
      </c>
      <c r="F240" t="s">
        <v>9</v>
      </c>
    </row>
    <row r="241" spans="1:6" x14ac:dyDescent="0.25">
      <c r="A241">
        <v>240</v>
      </c>
      <c r="B241" t="s">
        <v>18</v>
      </c>
      <c r="C241" t="s">
        <v>433</v>
      </c>
      <c r="D241">
        <v>41800</v>
      </c>
      <c r="E241" t="s">
        <v>8</v>
      </c>
      <c r="F241" t="s">
        <v>9</v>
      </c>
    </row>
    <row r="242" spans="1:6" x14ac:dyDescent="0.25">
      <c r="A242">
        <v>241</v>
      </c>
      <c r="B242" t="s">
        <v>74</v>
      </c>
      <c r="C242" t="s">
        <v>422</v>
      </c>
      <c r="D242">
        <v>51200</v>
      </c>
      <c r="E242" t="s">
        <v>23</v>
      </c>
      <c r="F242" t="s">
        <v>9</v>
      </c>
    </row>
    <row r="243" spans="1:6" x14ac:dyDescent="0.25">
      <c r="A243">
        <v>242</v>
      </c>
      <c r="B243" t="s">
        <v>318</v>
      </c>
      <c r="C243" t="s">
        <v>423</v>
      </c>
      <c r="D243">
        <v>9500</v>
      </c>
      <c r="E243" t="s">
        <v>8</v>
      </c>
      <c r="F243" t="s">
        <v>9</v>
      </c>
    </row>
    <row r="244" spans="1:6" x14ac:dyDescent="0.25">
      <c r="A244">
        <v>243</v>
      </c>
      <c r="B244" t="s">
        <v>18</v>
      </c>
      <c r="C244" t="s">
        <v>424</v>
      </c>
      <c r="D244">
        <v>16400</v>
      </c>
      <c r="E244" t="s">
        <v>8</v>
      </c>
      <c r="F244" t="s">
        <v>9</v>
      </c>
    </row>
    <row r="245" spans="1:6" x14ac:dyDescent="0.25">
      <c r="A245">
        <v>244</v>
      </c>
      <c r="B245" t="s">
        <v>266</v>
      </c>
      <c r="C245" t="s">
        <v>425</v>
      </c>
      <c r="D245">
        <v>45300</v>
      </c>
      <c r="E245" t="s">
        <v>8</v>
      </c>
      <c r="F245" t="s">
        <v>9</v>
      </c>
    </row>
    <row r="246" spans="1:6" x14ac:dyDescent="0.25">
      <c r="A246">
        <v>245</v>
      </c>
      <c r="B246" t="s">
        <v>316</v>
      </c>
      <c r="C246" t="s">
        <v>426</v>
      </c>
      <c r="D246">
        <v>69500</v>
      </c>
      <c r="E246" t="s">
        <v>8</v>
      </c>
      <c r="F246" t="s">
        <v>9</v>
      </c>
    </row>
    <row r="247" spans="1:6" x14ac:dyDescent="0.25">
      <c r="A247">
        <v>246</v>
      </c>
      <c r="B247" t="s">
        <v>286</v>
      </c>
      <c r="C247" t="s">
        <v>427</v>
      </c>
      <c r="D247">
        <v>165100</v>
      </c>
      <c r="E247" t="s">
        <v>8</v>
      </c>
      <c r="F247" t="s">
        <v>9</v>
      </c>
    </row>
    <row r="248" spans="1:6" x14ac:dyDescent="0.25">
      <c r="A248">
        <v>247</v>
      </c>
      <c r="B248" t="s">
        <v>259</v>
      </c>
      <c r="C248" t="s">
        <v>428</v>
      </c>
      <c r="D248">
        <v>34300</v>
      </c>
      <c r="E248" t="s">
        <v>8</v>
      </c>
      <c r="F248" t="s">
        <v>9</v>
      </c>
    </row>
    <row r="249" spans="1:6" x14ac:dyDescent="0.25">
      <c r="A249">
        <v>248</v>
      </c>
      <c r="B249" t="s">
        <v>201</v>
      </c>
      <c r="C249" t="s">
        <v>429</v>
      </c>
      <c r="D249">
        <v>15200</v>
      </c>
      <c r="E249" t="s">
        <v>8</v>
      </c>
      <c r="F249" t="s">
        <v>9</v>
      </c>
    </row>
    <row r="250" spans="1:6" x14ac:dyDescent="0.25">
      <c r="A250">
        <v>249</v>
      </c>
      <c r="B250" t="s">
        <v>216</v>
      </c>
      <c r="C250" t="s">
        <v>430</v>
      </c>
      <c r="D250">
        <v>76300</v>
      </c>
      <c r="E250" t="s">
        <v>8</v>
      </c>
      <c r="F250" t="s">
        <v>9</v>
      </c>
    </row>
    <row r="251" spans="1:6" x14ac:dyDescent="0.25">
      <c r="A251">
        <v>250</v>
      </c>
      <c r="B251" t="s">
        <v>118</v>
      </c>
      <c r="C251" t="s">
        <v>431</v>
      </c>
      <c r="D251">
        <v>36300</v>
      </c>
      <c r="E251" t="s">
        <v>8</v>
      </c>
      <c r="F251" t="s">
        <v>9</v>
      </c>
    </row>
    <row r="252" spans="1:6" x14ac:dyDescent="0.25">
      <c r="A252">
        <v>251</v>
      </c>
      <c r="B252" t="s">
        <v>96</v>
      </c>
      <c r="C252" t="s">
        <v>432</v>
      </c>
      <c r="D252">
        <v>55200</v>
      </c>
      <c r="E252" t="s">
        <v>8</v>
      </c>
      <c r="F252" t="s">
        <v>9</v>
      </c>
    </row>
    <row r="253" spans="1:6" x14ac:dyDescent="0.25">
      <c r="A253">
        <v>252</v>
      </c>
      <c r="B253" t="s">
        <v>215</v>
      </c>
      <c r="C253" t="s">
        <v>433</v>
      </c>
      <c r="D253">
        <v>30300</v>
      </c>
      <c r="E253" t="s">
        <v>8</v>
      </c>
      <c r="F253" t="s">
        <v>9</v>
      </c>
    </row>
    <row r="254" spans="1:6" x14ac:dyDescent="0.25">
      <c r="A254">
        <v>253</v>
      </c>
      <c r="B254" t="s">
        <v>50</v>
      </c>
      <c r="C254" t="s">
        <v>422</v>
      </c>
      <c r="D254">
        <v>237000</v>
      </c>
      <c r="E254" t="s">
        <v>23</v>
      </c>
      <c r="F254" t="s">
        <v>9</v>
      </c>
    </row>
    <row r="255" spans="1:6" x14ac:dyDescent="0.25">
      <c r="A255">
        <v>254</v>
      </c>
      <c r="B255" t="s">
        <v>335</v>
      </c>
      <c r="C255" t="s">
        <v>423</v>
      </c>
      <c r="D255">
        <v>40700</v>
      </c>
      <c r="E255" t="s">
        <v>38</v>
      </c>
      <c r="F255" t="s">
        <v>20</v>
      </c>
    </row>
    <row r="256" spans="1:6" x14ac:dyDescent="0.25">
      <c r="A256">
        <v>255</v>
      </c>
      <c r="B256" t="s">
        <v>228</v>
      </c>
      <c r="C256" t="s">
        <v>424</v>
      </c>
      <c r="D256">
        <v>45900</v>
      </c>
      <c r="E256" t="s">
        <v>8</v>
      </c>
      <c r="F256" t="s">
        <v>9</v>
      </c>
    </row>
    <row r="257" spans="1:6" x14ac:dyDescent="0.25">
      <c r="A257">
        <v>256</v>
      </c>
      <c r="B257" t="s">
        <v>140</v>
      </c>
      <c r="C257" t="s">
        <v>425</v>
      </c>
      <c r="D257">
        <v>52400</v>
      </c>
      <c r="E257" t="s">
        <v>8</v>
      </c>
      <c r="F257" t="s">
        <v>9</v>
      </c>
    </row>
    <row r="258" spans="1:6" x14ac:dyDescent="0.25">
      <c r="A258">
        <v>257</v>
      </c>
      <c r="B258" t="s">
        <v>327</v>
      </c>
      <c r="C258" t="s">
        <v>426</v>
      </c>
      <c r="D258">
        <v>146000</v>
      </c>
      <c r="E258" t="s">
        <v>23</v>
      </c>
      <c r="F258" t="s">
        <v>9</v>
      </c>
    </row>
    <row r="259" spans="1:6" x14ac:dyDescent="0.25">
      <c r="A259">
        <v>258</v>
      </c>
      <c r="B259" t="s">
        <v>192</v>
      </c>
      <c r="C259" t="s">
        <v>427</v>
      </c>
      <c r="D259">
        <v>27300</v>
      </c>
      <c r="E259" t="s">
        <v>8</v>
      </c>
      <c r="F259" t="s">
        <v>9</v>
      </c>
    </row>
    <row r="260" spans="1:6" x14ac:dyDescent="0.25">
      <c r="A260">
        <v>259</v>
      </c>
      <c r="B260" t="s">
        <v>344</v>
      </c>
      <c r="C260" t="s">
        <v>428</v>
      </c>
      <c r="D260">
        <v>42900</v>
      </c>
      <c r="E260" t="s">
        <v>8</v>
      </c>
      <c r="F260" t="s">
        <v>9</v>
      </c>
    </row>
    <row r="261" spans="1:6" x14ac:dyDescent="0.25">
      <c r="A261">
        <v>260</v>
      </c>
      <c r="B261" t="s">
        <v>323</v>
      </c>
      <c r="C261" t="s">
        <v>429</v>
      </c>
      <c r="D261">
        <v>56700</v>
      </c>
      <c r="E261" t="s">
        <v>8</v>
      </c>
      <c r="F261" t="s">
        <v>9</v>
      </c>
    </row>
    <row r="262" spans="1:6" x14ac:dyDescent="0.25">
      <c r="A262">
        <v>261</v>
      </c>
      <c r="B262" t="s">
        <v>74</v>
      </c>
      <c r="C262" t="s">
        <v>430</v>
      </c>
      <c r="D262">
        <v>13200</v>
      </c>
      <c r="E262" t="s">
        <v>8</v>
      </c>
      <c r="F262" t="s">
        <v>9</v>
      </c>
    </row>
    <row r="263" spans="1:6" x14ac:dyDescent="0.25">
      <c r="A263">
        <v>262</v>
      </c>
      <c r="B263" t="s">
        <v>203</v>
      </c>
      <c r="C263" t="s">
        <v>431</v>
      </c>
      <c r="D263">
        <v>142100</v>
      </c>
      <c r="E263" t="s">
        <v>8</v>
      </c>
      <c r="F263" t="s">
        <v>9</v>
      </c>
    </row>
    <row r="264" spans="1:6" x14ac:dyDescent="0.25">
      <c r="A264">
        <v>263</v>
      </c>
      <c r="B264" t="s">
        <v>142</v>
      </c>
      <c r="C264" t="s">
        <v>432</v>
      </c>
      <c r="D264">
        <v>30800</v>
      </c>
      <c r="E264" t="s">
        <v>8</v>
      </c>
      <c r="F264" t="s">
        <v>9</v>
      </c>
    </row>
    <row r="265" spans="1:6" x14ac:dyDescent="0.25">
      <c r="A265">
        <v>264</v>
      </c>
      <c r="B265" t="s">
        <v>10</v>
      </c>
      <c r="C265" t="s">
        <v>433</v>
      </c>
      <c r="D265">
        <v>41500</v>
      </c>
      <c r="E265" t="s">
        <v>8</v>
      </c>
      <c r="F265" t="s">
        <v>9</v>
      </c>
    </row>
    <row r="266" spans="1:6" x14ac:dyDescent="0.25">
      <c r="A266">
        <v>265</v>
      </c>
      <c r="B266" t="s">
        <v>215</v>
      </c>
      <c r="C266" t="s">
        <v>422</v>
      </c>
      <c r="D266">
        <v>20500</v>
      </c>
      <c r="E266" t="s">
        <v>8</v>
      </c>
      <c r="F266" t="s">
        <v>9</v>
      </c>
    </row>
    <row r="267" spans="1:6" x14ac:dyDescent="0.25">
      <c r="A267">
        <v>266</v>
      </c>
      <c r="B267" t="s">
        <v>152</v>
      </c>
      <c r="C267" t="s">
        <v>423</v>
      </c>
      <c r="D267">
        <v>58300</v>
      </c>
      <c r="E267" t="s">
        <v>8</v>
      </c>
      <c r="F267" t="s">
        <v>9</v>
      </c>
    </row>
    <row r="268" spans="1:6" x14ac:dyDescent="0.25">
      <c r="A268">
        <v>267</v>
      </c>
      <c r="B268" t="s">
        <v>268</v>
      </c>
      <c r="C268" t="s">
        <v>424</v>
      </c>
      <c r="D268">
        <v>18100</v>
      </c>
      <c r="E268" t="s">
        <v>8</v>
      </c>
      <c r="F268" t="s">
        <v>9</v>
      </c>
    </row>
    <row r="269" spans="1:6" x14ac:dyDescent="0.25">
      <c r="A269">
        <v>268</v>
      </c>
      <c r="B269" t="s">
        <v>150</v>
      </c>
      <c r="C269" t="s">
        <v>425</v>
      </c>
      <c r="D269">
        <v>8100</v>
      </c>
      <c r="E269" t="s">
        <v>8</v>
      </c>
      <c r="F269" t="s">
        <v>9</v>
      </c>
    </row>
    <row r="270" spans="1:6" x14ac:dyDescent="0.25">
      <c r="A270">
        <v>269</v>
      </c>
      <c r="B270" t="s">
        <v>99</v>
      </c>
      <c r="C270" t="s">
        <v>426</v>
      </c>
      <c r="D270">
        <v>20000</v>
      </c>
      <c r="E270" t="s">
        <v>8</v>
      </c>
      <c r="F270" t="s">
        <v>9</v>
      </c>
    </row>
    <row r="271" spans="1:6" x14ac:dyDescent="0.25">
      <c r="A271">
        <v>270</v>
      </c>
      <c r="B271" t="s">
        <v>90</v>
      </c>
      <c r="C271" t="s">
        <v>427</v>
      </c>
      <c r="D271">
        <v>7200</v>
      </c>
      <c r="E271" t="s">
        <v>8</v>
      </c>
      <c r="F271" t="s">
        <v>9</v>
      </c>
    </row>
    <row r="272" spans="1:6" x14ac:dyDescent="0.25">
      <c r="A272">
        <v>271</v>
      </c>
      <c r="B272" t="s">
        <v>94</v>
      </c>
      <c r="C272" t="s">
        <v>428</v>
      </c>
      <c r="D272">
        <v>12500</v>
      </c>
      <c r="E272" t="s">
        <v>23</v>
      </c>
      <c r="F272" t="s">
        <v>9</v>
      </c>
    </row>
    <row r="273" spans="1:6" x14ac:dyDescent="0.25">
      <c r="A273">
        <v>272</v>
      </c>
      <c r="B273" t="s">
        <v>201</v>
      </c>
      <c r="C273" t="s">
        <v>429</v>
      </c>
      <c r="D273">
        <v>19900</v>
      </c>
      <c r="E273" t="s">
        <v>8</v>
      </c>
      <c r="F273" t="s">
        <v>9</v>
      </c>
    </row>
    <row r="274" spans="1:6" x14ac:dyDescent="0.25">
      <c r="A274">
        <v>273</v>
      </c>
      <c r="B274" t="s">
        <v>374</v>
      </c>
      <c r="C274" t="s">
        <v>430</v>
      </c>
      <c r="D274">
        <v>17400</v>
      </c>
      <c r="E274" t="s">
        <v>8</v>
      </c>
      <c r="F274" t="s">
        <v>9</v>
      </c>
    </row>
    <row r="275" spans="1:6" x14ac:dyDescent="0.25">
      <c r="A275">
        <v>274</v>
      </c>
      <c r="B275" t="s">
        <v>322</v>
      </c>
      <c r="C275" t="s">
        <v>431</v>
      </c>
      <c r="D275">
        <v>27700</v>
      </c>
      <c r="E275" t="s">
        <v>8</v>
      </c>
      <c r="F275" t="s">
        <v>20</v>
      </c>
    </row>
    <row r="276" spans="1:6" x14ac:dyDescent="0.25">
      <c r="A276">
        <v>275</v>
      </c>
      <c r="B276" t="s">
        <v>84</v>
      </c>
      <c r="C276" t="s">
        <v>432</v>
      </c>
      <c r="D276">
        <v>21500</v>
      </c>
      <c r="E276" t="s">
        <v>8</v>
      </c>
      <c r="F276" t="s">
        <v>9</v>
      </c>
    </row>
    <row r="277" spans="1:6" x14ac:dyDescent="0.25">
      <c r="A277">
        <v>276</v>
      </c>
      <c r="B277" t="s">
        <v>83</v>
      </c>
      <c r="C277" t="s">
        <v>433</v>
      </c>
      <c r="D277">
        <v>25000</v>
      </c>
      <c r="E277" t="s">
        <v>38</v>
      </c>
      <c r="F277" t="s">
        <v>9</v>
      </c>
    </row>
    <row r="278" spans="1:6" x14ac:dyDescent="0.25">
      <c r="A278">
        <v>277</v>
      </c>
      <c r="B278" t="s">
        <v>47</v>
      </c>
      <c r="C278" t="s">
        <v>422</v>
      </c>
      <c r="D278">
        <v>14600</v>
      </c>
      <c r="E278" t="s">
        <v>8</v>
      </c>
      <c r="F278" t="s">
        <v>9</v>
      </c>
    </row>
    <row r="279" spans="1:6" x14ac:dyDescent="0.25">
      <c r="A279">
        <v>278</v>
      </c>
      <c r="B279" t="s">
        <v>61</v>
      </c>
      <c r="C279" t="s">
        <v>423</v>
      </c>
      <c r="D279">
        <v>133200</v>
      </c>
      <c r="E279" t="s">
        <v>8</v>
      </c>
      <c r="F279" t="s">
        <v>9</v>
      </c>
    </row>
    <row r="280" spans="1:6" x14ac:dyDescent="0.25">
      <c r="A280">
        <v>279</v>
      </c>
      <c r="B280" t="s">
        <v>231</v>
      </c>
      <c r="C280" t="s">
        <v>424</v>
      </c>
      <c r="D280">
        <v>55300</v>
      </c>
      <c r="E280" t="s">
        <v>8</v>
      </c>
      <c r="F280" t="s">
        <v>9</v>
      </c>
    </row>
    <row r="281" spans="1:6" x14ac:dyDescent="0.25">
      <c r="A281">
        <v>280</v>
      </c>
      <c r="B281" t="s">
        <v>171</v>
      </c>
      <c r="C281" t="s">
        <v>425</v>
      </c>
      <c r="D281">
        <v>8900</v>
      </c>
      <c r="E281" t="s">
        <v>8</v>
      </c>
      <c r="F281" t="s">
        <v>9</v>
      </c>
    </row>
    <row r="282" spans="1:6" x14ac:dyDescent="0.25">
      <c r="A282">
        <v>281</v>
      </c>
      <c r="B282" t="s">
        <v>401</v>
      </c>
      <c r="C282" t="s">
        <v>426</v>
      </c>
      <c r="D282">
        <v>22800</v>
      </c>
      <c r="E282" t="s">
        <v>8</v>
      </c>
      <c r="F282" t="s">
        <v>9</v>
      </c>
    </row>
    <row r="283" spans="1:6" x14ac:dyDescent="0.25">
      <c r="A283">
        <v>282</v>
      </c>
      <c r="B283" t="s">
        <v>53</v>
      </c>
      <c r="C283" t="s">
        <v>427</v>
      </c>
      <c r="D283">
        <v>143500</v>
      </c>
      <c r="E283" t="s">
        <v>8</v>
      </c>
      <c r="F283" t="s">
        <v>9</v>
      </c>
    </row>
    <row r="284" spans="1:6" x14ac:dyDescent="0.25">
      <c r="A284">
        <v>283</v>
      </c>
      <c r="B284" t="s">
        <v>40</v>
      </c>
      <c r="C284" t="s">
        <v>428</v>
      </c>
      <c r="D284">
        <v>75600</v>
      </c>
      <c r="E284" t="s">
        <v>8</v>
      </c>
      <c r="F284" t="s">
        <v>9</v>
      </c>
    </row>
    <row r="285" spans="1:6" x14ac:dyDescent="0.25">
      <c r="A285">
        <v>284</v>
      </c>
      <c r="B285" t="s">
        <v>187</v>
      </c>
      <c r="C285" t="s">
        <v>429</v>
      </c>
      <c r="D285">
        <v>59400</v>
      </c>
      <c r="E285" t="s">
        <v>8</v>
      </c>
      <c r="F285" t="s">
        <v>9</v>
      </c>
    </row>
    <row r="286" spans="1:6" x14ac:dyDescent="0.25">
      <c r="A286">
        <v>285</v>
      </c>
      <c r="B286" t="s">
        <v>266</v>
      </c>
      <c r="C286" t="s">
        <v>430</v>
      </c>
      <c r="D286">
        <v>97900</v>
      </c>
      <c r="E286" t="s">
        <v>8</v>
      </c>
      <c r="F286" t="s">
        <v>9</v>
      </c>
    </row>
    <row r="287" spans="1:6" x14ac:dyDescent="0.25">
      <c r="A287">
        <v>286</v>
      </c>
      <c r="B287" t="s">
        <v>185</v>
      </c>
      <c r="C287" t="s">
        <v>431</v>
      </c>
      <c r="D287">
        <v>40400</v>
      </c>
      <c r="E287" t="s">
        <v>8</v>
      </c>
      <c r="F287" t="s">
        <v>9</v>
      </c>
    </row>
    <row r="288" spans="1:6" x14ac:dyDescent="0.25">
      <c r="A288">
        <v>287</v>
      </c>
      <c r="B288" t="s">
        <v>90</v>
      </c>
      <c r="C288" t="s">
        <v>432</v>
      </c>
      <c r="D288">
        <v>59800</v>
      </c>
      <c r="E288" t="s">
        <v>8</v>
      </c>
      <c r="F288" t="s">
        <v>9</v>
      </c>
    </row>
    <row r="289" spans="1:6" x14ac:dyDescent="0.25">
      <c r="A289">
        <v>288</v>
      </c>
      <c r="B289" t="s">
        <v>420</v>
      </c>
      <c r="C289" t="s">
        <v>433</v>
      </c>
      <c r="D289">
        <v>69600</v>
      </c>
      <c r="E289" t="s">
        <v>8</v>
      </c>
      <c r="F289" t="s">
        <v>9</v>
      </c>
    </row>
    <row r="290" spans="1:6" x14ac:dyDescent="0.25">
      <c r="A290">
        <v>289</v>
      </c>
      <c r="B290" t="s">
        <v>263</v>
      </c>
      <c r="C290" t="s">
        <v>422</v>
      </c>
      <c r="D290">
        <v>35700</v>
      </c>
      <c r="E290" t="s">
        <v>8</v>
      </c>
      <c r="F290" t="s">
        <v>9</v>
      </c>
    </row>
    <row r="291" spans="1:6" x14ac:dyDescent="0.25">
      <c r="A291">
        <v>290</v>
      </c>
      <c r="B291" t="s">
        <v>89</v>
      </c>
      <c r="C291" t="s">
        <v>423</v>
      </c>
      <c r="D291">
        <v>49900</v>
      </c>
      <c r="E291" t="s">
        <v>8</v>
      </c>
      <c r="F291" t="s">
        <v>9</v>
      </c>
    </row>
    <row r="292" spans="1:6" x14ac:dyDescent="0.25">
      <c r="A292">
        <v>291</v>
      </c>
      <c r="B292" t="s">
        <v>180</v>
      </c>
      <c r="C292" t="s">
        <v>424</v>
      </c>
      <c r="D292">
        <v>16800</v>
      </c>
      <c r="E292" t="s">
        <v>38</v>
      </c>
      <c r="F292" t="s">
        <v>20</v>
      </c>
    </row>
    <row r="293" spans="1:6" x14ac:dyDescent="0.25">
      <c r="A293">
        <v>292</v>
      </c>
      <c r="B293" t="s">
        <v>49</v>
      </c>
      <c r="C293" t="s">
        <v>425</v>
      </c>
      <c r="D293">
        <v>350200</v>
      </c>
      <c r="E293" t="s">
        <v>8</v>
      </c>
      <c r="F293" t="s">
        <v>9</v>
      </c>
    </row>
    <row r="294" spans="1:6" x14ac:dyDescent="0.25">
      <c r="A294">
        <v>293</v>
      </c>
      <c r="B294" t="s">
        <v>332</v>
      </c>
      <c r="C294" t="s">
        <v>426</v>
      </c>
      <c r="D294">
        <v>27600</v>
      </c>
      <c r="E294" t="s">
        <v>8</v>
      </c>
      <c r="F294" t="s">
        <v>9</v>
      </c>
    </row>
    <row r="295" spans="1:6" x14ac:dyDescent="0.25">
      <c r="A295">
        <v>294</v>
      </c>
      <c r="B295" t="s">
        <v>53</v>
      </c>
      <c r="C295" t="s">
        <v>427</v>
      </c>
      <c r="D295">
        <v>31700</v>
      </c>
      <c r="E295" t="s">
        <v>38</v>
      </c>
      <c r="F295" t="s">
        <v>20</v>
      </c>
    </row>
    <row r="296" spans="1:6" x14ac:dyDescent="0.25">
      <c r="A296">
        <v>295</v>
      </c>
      <c r="B296" t="s">
        <v>166</v>
      </c>
      <c r="C296" t="s">
        <v>428</v>
      </c>
      <c r="D296">
        <v>139600</v>
      </c>
      <c r="E296" t="s">
        <v>8</v>
      </c>
      <c r="F296" t="s">
        <v>9</v>
      </c>
    </row>
    <row r="297" spans="1:6" x14ac:dyDescent="0.25">
      <c r="A297">
        <v>296</v>
      </c>
      <c r="B297" t="s">
        <v>124</v>
      </c>
      <c r="C297" t="s">
        <v>429</v>
      </c>
      <c r="D297">
        <v>5000</v>
      </c>
      <c r="E297" t="s">
        <v>23</v>
      </c>
      <c r="F297" t="s">
        <v>9</v>
      </c>
    </row>
    <row r="298" spans="1:6" x14ac:dyDescent="0.25">
      <c r="A298">
        <v>297</v>
      </c>
      <c r="B298" t="s">
        <v>349</v>
      </c>
      <c r="C298" t="s">
        <v>430</v>
      </c>
      <c r="D298">
        <v>172600</v>
      </c>
      <c r="E298" t="s">
        <v>8</v>
      </c>
      <c r="F298" t="s">
        <v>9</v>
      </c>
    </row>
    <row r="299" spans="1:6" x14ac:dyDescent="0.25">
      <c r="A299">
        <v>298</v>
      </c>
      <c r="B299" t="s">
        <v>207</v>
      </c>
      <c r="C299" t="s">
        <v>431</v>
      </c>
      <c r="D299">
        <v>21400</v>
      </c>
      <c r="E299" t="s">
        <v>8</v>
      </c>
      <c r="F299" t="s">
        <v>9</v>
      </c>
    </row>
    <row r="300" spans="1:6" x14ac:dyDescent="0.25">
      <c r="A300">
        <v>299</v>
      </c>
      <c r="B300" t="s">
        <v>242</v>
      </c>
      <c r="C300" t="s">
        <v>432</v>
      </c>
      <c r="D300">
        <v>15100</v>
      </c>
      <c r="E300" t="s">
        <v>8</v>
      </c>
      <c r="F300" t="s">
        <v>9</v>
      </c>
    </row>
    <row r="301" spans="1:6" x14ac:dyDescent="0.25">
      <c r="A301">
        <v>300</v>
      </c>
      <c r="B301" t="s">
        <v>97</v>
      </c>
      <c r="C301" t="s">
        <v>433</v>
      </c>
      <c r="D301">
        <v>57700</v>
      </c>
      <c r="E301" t="s">
        <v>8</v>
      </c>
      <c r="F301" t="s">
        <v>9</v>
      </c>
    </row>
    <row r="302" spans="1:6" x14ac:dyDescent="0.25">
      <c r="A302">
        <v>301</v>
      </c>
      <c r="B302" t="s">
        <v>242</v>
      </c>
      <c r="C302" t="s">
        <v>422</v>
      </c>
      <c r="D302">
        <v>24200</v>
      </c>
      <c r="E302" t="s">
        <v>8</v>
      </c>
      <c r="F302" t="s">
        <v>9</v>
      </c>
    </row>
    <row r="303" spans="1:6" x14ac:dyDescent="0.25">
      <c r="A303">
        <v>302</v>
      </c>
      <c r="B303" t="s">
        <v>364</v>
      </c>
      <c r="C303" t="s">
        <v>423</v>
      </c>
      <c r="D303">
        <v>28600</v>
      </c>
      <c r="E303" t="s">
        <v>8</v>
      </c>
      <c r="F303" t="s">
        <v>9</v>
      </c>
    </row>
    <row r="304" spans="1:6" x14ac:dyDescent="0.25">
      <c r="A304">
        <v>303</v>
      </c>
      <c r="B304" t="s">
        <v>56</v>
      </c>
      <c r="C304" t="s">
        <v>424</v>
      </c>
      <c r="D304">
        <v>13500</v>
      </c>
      <c r="E304" t="s">
        <v>8</v>
      </c>
      <c r="F304" t="s">
        <v>9</v>
      </c>
    </row>
    <row r="305" spans="1:6" x14ac:dyDescent="0.25">
      <c r="A305">
        <v>304</v>
      </c>
      <c r="B305" t="s">
        <v>250</v>
      </c>
      <c r="C305" t="s">
        <v>425</v>
      </c>
      <c r="D305">
        <v>30500</v>
      </c>
      <c r="E305" t="s">
        <v>8</v>
      </c>
      <c r="F305" t="s">
        <v>9</v>
      </c>
    </row>
    <row r="306" spans="1:6" x14ac:dyDescent="0.25">
      <c r="A306">
        <v>305</v>
      </c>
      <c r="B306" t="s">
        <v>343</v>
      </c>
      <c r="C306" t="s">
        <v>426</v>
      </c>
      <c r="D306">
        <v>76100</v>
      </c>
      <c r="E306" t="s">
        <v>23</v>
      </c>
      <c r="F306" t="s">
        <v>9</v>
      </c>
    </row>
    <row r="307" spans="1:6" x14ac:dyDescent="0.25">
      <c r="A307">
        <v>306</v>
      </c>
      <c r="B307" t="s">
        <v>320</v>
      </c>
      <c r="C307" t="s">
        <v>427</v>
      </c>
      <c r="D307">
        <v>106000</v>
      </c>
      <c r="E307" t="s">
        <v>8</v>
      </c>
      <c r="F307" t="s">
        <v>9</v>
      </c>
    </row>
    <row r="308" spans="1:6" x14ac:dyDescent="0.25">
      <c r="A308">
        <v>307</v>
      </c>
      <c r="B308" t="s">
        <v>288</v>
      </c>
      <c r="C308" t="s">
        <v>428</v>
      </c>
      <c r="D308">
        <v>97600</v>
      </c>
      <c r="E308" t="s">
        <v>8</v>
      </c>
      <c r="F308" t="s">
        <v>9</v>
      </c>
    </row>
    <row r="309" spans="1:6" x14ac:dyDescent="0.25">
      <c r="A309">
        <v>308</v>
      </c>
      <c r="B309" t="s">
        <v>146</v>
      </c>
      <c r="C309" t="s">
        <v>429</v>
      </c>
      <c r="D309">
        <v>16500</v>
      </c>
      <c r="E309" t="s">
        <v>8</v>
      </c>
      <c r="F309" t="s">
        <v>9</v>
      </c>
    </row>
    <row r="310" spans="1:6" x14ac:dyDescent="0.25">
      <c r="A310">
        <v>309</v>
      </c>
      <c r="B310" t="s">
        <v>209</v>
      </c>
      <c r="C310" t="s">
        <v>430</v>
      </c>
      <c r="D310">
        <v>13300</v>
      </c>
      <c r="E310" t="s">
        <v>8</v>
      </c>
      <c r="F310" t="s">
        <v>9</v>
      </c>
    </row>
    <row r="311" spans="1:6" x14ac:dyDescent="0.25">
      <c r="A311">
        <v>310</v>
      </c>
      <c r="B311" t="s">
        <v>142</v>
      </c>
      <c r="C311" t="s">
        <v>431</v>
      </c>
      <c r="D311">
        <v>36400</v>
      </c>
      <c r="E311" t="s">
        <v>8</v>
      </c>
      <c r="F311" t="s">
        <v>9</v>
      </c>
    </row>
    <row r="312" spans="1:6" x14ac:dyDescent="0.25">
      <c r="A312">
        <v>311</v>
      </c>
      <c r="B312" t="s">
        <v>132</v>
      </c>
      <c r="C312" t="s">
        <v>432</v>
      </c>
      <c r="D312">
        <v>47500</v>
      </c>
      <c r="E312" t="s">
        <v>8</v>
      </c>
      <c r="F312" t="s">
        <v>9</v>
      </c>
    </row>
    <row r="313" spans="1:6" x14ac:dyDescent="0.25">
      <c r="A313">
        <v>312</v>
      </c>
      <c r="B313" t="s">
        <v>284</v>
      </c>
      <c r="C313" t="s">
        <v>433</v>
      </c>
      <c r="D313">
        <v>24700</v>
      </c>
      <c r="E313" t="s">
        <v>8</v>
      </c>
      <c r="F313" t="s">
        <v>9</v>
      </c>
    </row>
    <row r="314" spans="1:6" x14ac:dyDescent="0.25">
      <c r="A314">
        <v>313</v>
      </c>
      <c r="B314" t="s">
        <v>211</v>
      </c>
      <c r="C314" t="s">
        <v>422</v>
      </c>
      <c r="D314">
        <v>12600</v>
      </c>
      <c r="E314" t="s">
        <v>38</v>
      </c>
      <c r="F314" t="s">
        <v>20</v>
      </c>
    </row>
    <row r="315" spans="1:6" x14ac:dyDescent="0.25">
      <c r="A315">
        <v>314</v>
      </c>
      <c r="B315" t="s">
        <v>322</v>
      </c>
      <c r="C315" t="s">
        <v>423</v>
      </c>
      <c r="D315">
        <v>18300</v>
      </c>
      <c r="E315" t="s">
        <v>8</v>
      </c>
      <c r="F315" t="s">
        <v>9</v>
      </c>
    </row>
    <row r="316" spans="1:6" x14ac:dyDescent="0.25">
      <c r="A316">
        <v>315</v>
      </c>
      <c r="B316" t="s">
        <v>30</v>
      </c>
      <c r="C316" t="s">
        <v>424</v>
      </c>
      <c r="D316">
        <v>5000</v>
      </c>
      <c r="E316" t="s">
        <v>8</v>
      </c>
      <c r="F316" t="s">
        <v>9</v>
      </c>
    </row>
    <row r="317" spans="1:6" x14ac:dyDescent="0.25">
      <c r="A317">
        <v>316</v>
      </c>
      <c r="B317" t="s">
        <v>262</v>
      </c>
      <c r="C317" t="s">
        <v>425</v>
      </c>
      <c r="D317">
        <v>5000</v>
      </c>
      <c r="E317" t="s">
        <v>8</v>
      </c>
      <c r="F317" t="s">
        <v>9</v>
      </c>
    </row>
    <row r="318" spans="1:6" x14ac:dyDescent="0.25">
      <c r="A318">
        <v>317</v>
      </c>
      <c r="B318" t="s">
        <v>201</v>
      </c>
      <c r="C318" t="s">
        <v>426</v>
      </c>
      <c r="D318">
        <v>12600</v>
      </c>
      <c r="E318" t="s">
        <v>8</v>
      </c>
      <c r="F318" t="s">
        <v>9</v>
      </c>
    </row>
    <row r="319" spans="1:6" x14ac:dyDescent="0.25">
      <c r="A319">
        <v>318</v>
      </c>
      <c r="B319" t="s">
        <v>182</v>
      </c>
      <c r="C319" t="s">
        <v>427</v>
      </c>
      <c r="D319">
        <v>12300</v>
      </c>
      <c r="E319" t="s">
        <v>8</v>
      </c>
      <c r="F319" t="s">
        <v>9</v>
      </c>
    </row>
    <row r="320" spans="1:6" x14ac:dyDescent="0.25">
      <c r="A320">
        <v>319</v>
      </c>
      <c r="B320" t="s">
        <v>110</v>
      </c>
      <c r="C320" t="s">
        <v>422</v>
      </c>
      <c r="D320">
        <v>450000</v>
      </c>
      <c r="E320" t="s">
        <v>8</v>
      </c>
      <c r="F320" t="s">
        <v>9</v>
      </c>
    </row>
    <row r="321" spans="1:6" x14ac:dyDescent="0.25">
      <c r="A321">
        <v>320</v>
      </c>
      <c r="B321" t="s">
        <v>166</v>
      </c>
      <c r="C321" t="s">
        <v>429</v>
      </c>
      <c r="D321">
        <v>36100</v>
      </c>
      <c r="E321" t="s">
        <v>8</v>
      </c>
      <c r="F321" t="s">
        <v>9</v>
      </c>
    </row>
    <row r="322" spans="1:6" x14ac:dyDescent="0.25">
      <c r="A322">
        <v>321</v>
      </c>
      <c r="B322" t="s">
        <v>188</v>
      </c>
      <c r="C322" t="s">
        <v>430</v>
      </c>
      <c r="D322">
        <v>129500</v>
      </c>
      <c r="E322" t="s">
        <v>8</v>
      </c>
      <c r="F322" t="s">
        <v>9</v>
      </c>
    </row>
    <row r="323" spans="1:6" x14ac:dyDescent="0.25">
      <c r="A323">
        <v>322</v>
      </c>
      <c r="B323" t="s">
        <v>250</v>
      </c>
      <c r="C323" t="s">
        <v>431</v>
      </c>
      <c r="D323">
        <v>30800</v>
      </c>
      <c r="E323" t="s">
        <v>8</v>
      </c>
      <c r="F323" t="s">
        <v>9</v>
      </c>
    </row>
    <row r="324" spans="1:6" x14ac:dyDescent="0.25">
      <c r="A324">
        <v>323</v>
      </c>
      <c r="B324" t="s">
        <v>128</v>
      </c>
      <c r="C324" t="s">
        <v>432</v>
      </c>
      <c r="D324">
        <v>32500</v>
      </c>
      <c r="E324" t="s">
        <v>8</v>
      </c>
      <c r="F324" t="s">
        <v>9</v>
      </c>
    </row>
    <row r="325" spans="1:6" x14ac:dyDescent="0.25">
      <c r="A325">
        <v>324</v>
      </c>
      <c r="B325" t="s">
        <v>244</v>
      </c>
      <c r="C325" t="s">
        <v>433</v>
      </c>
      <c r="D325">
        <v>34200</v>
      </c>
      <c r="E325" t="s">
        <v>8</v>
      </c>
      <c r="F325" t="s">
        <v>9</v>
      </c>
    </row>
    <row r="326" spans="1:6" x14ac:dyDescent="0.25">
      <c r="A326">
        <v>325</v>
      </c>
      <c r="B326" t="s">
        <v>201</v>
      </c>
      <c r="C326" t="s">
        <v>422</v>
      </c>
      <c r="D326">
        <v>78300</v>
      </c>
      <c r="E326" t="s">
        <v>8</v>
      </c>
      <c r="F326" t="s">
        <v>9</v>
      </c>
    </row>
    <row r="327" spans="1:6" x14ac:dyDescent="0.25">
      <c r="A327">
        <v>326</v>
      </c>
      <c r="B327" t="s">
        <v>201</v>
      </c>
      <c r="C327" t="s">
        <v>423</v>
      </c>
      <c r="D327">
        <v>17100</v>
      </c>
      <c r="E327" t="s">
        <v>8</v>
      </c>
      <c r="F327" t="s">
        <v>9</v>
      </c>
    </row>
    <row r="328" spans="1:6" x14ac:dyDescent="0.25">
      <c r="A328">
        <v>327</v>
      </c>
      <c r="B328" t="s">
        <v>400</v>
      </c>
      <c r="C328" t="s">
        <v>424</v>
      </c>
      <c r="D328">
        <v>54800</v>
      </c>
      <c r="E328" t="s">
        <v>8</v>
      </c>
      <c r="F328" t="s">
        <v>9</v>
      </c>
    </row>
    <row r="329" spans="1:6" x14ac:dyDescent="0.25">
      <c r="A329">
        <v>328</v>
      </c>
      <c r="B329" t="s">
        <v>335</v>
      </c>
      <c r="C329" t="s">
        <v>425</v>
      </c>
      <c r="D329">
        <v>28000</v>
      </c>
      <c r="E329" t="s">
        <v>8</v>
      </c>
      <c r="F329" t="s">
        <v>9</v>
      </c>
    </row>
    <row r="330" spans="1:6" x14ac:dyDescent="0.25">
      <c r="A330">
        <v>329</v>
      </c>
      <c r="B330" t="s">
        <v>185</v>
      </c>
      <c r="C330" t="s">
        <v>426</v>
      </c>
      <c r="D330">
        <v>50900</v>
      </c>
      <c r="E330" t="s">
        <v>8</v>
      </c>
      <c r="F330" t="s">
        <v>9</v>
      </c>
    </row>
    <row r="331" spans="1:6" x14ac:dyDescent="0.25">
      <c r="A331">
        <v>330</v>
      </c>
      <c r="B331" t="s">
        <v>160</v>
      </c>
      <c r="C331" t="s">
        <v>427</v>
      </c>
      <c r="D331">
        <v>17000</v>
      </c>
      <c r="E331" t="s">
        <v>8</v>
      </c>
      <c r="F331" t="s">
        <v>9</v>
      </c>
    </row>
    <row r="332" spans="1:6" x14ac:dyDescent="0.25">
      <c r="A332">
        <v>331</v>
      </c>
      <c r="B332" t="s">
        <v>67</v>
      </c>
      <c r="C332" t="s">
        <v>428</v>
      </c>
      <c r="D332">
        <v>36700</v>
      </c>
      <c r="E332" t="s">
        <v>8</v>
      </c>
      <c r="F332" t="s">
        <v>9</v>
      </c>
    </row>
    <row r="333" spans="1:6" x14ac:dyDescent="0.25">
      <c r="A333">
        <v>332</v>
      </c>
      <c r="B333" t="s">
        <v>80</v>
      </c>
      <c r="C333" t="s">
        <v>429</v>
      </c>
      <c r="D333">
        <v>95900</v>
      </c>
      <c r="E333" t="s">
        <v>23</v>
      </c>
      <c r="F333" t="s">
        <v>9</v>
      </c>
    </row>
    <row r="334" spans="1:6" x14ac:dyDescent="0.25">
      <c r="A334">
        <v>333</v>
      </c>
      <c r="B334" t="s">
        <v>37</v>
      </c>
      <c r="C334" t="s">
        <v>430</v>
      </c>
      <c r="D334">
        <v>26900</v>
      </c>
      <c r="E334" t="s">
        <v>8</v>
      </c>
      <c r="F334" t="s">
        <v>9</v>
      </c>
    </row>
    <row r="335" spans="1:6" x14ac:dyDescent="0.25">
      <c r="A335">
        <v>334</v>
      </c>
      <c r="B335" t="s">
        <v>82</v>
      </c>
      <c r="C335" t="s">
        <v>431</v>
      </c>
      <c r="D335">
        <v>30900</v>
      </c>
      <c r="E335" t="s">
        <v>38</v>
      </c>
      <c r="F335" t="s">
        <v>9</v>
      </c>
    </row>
    <row r="336" spans="1:6" x14ac:dyDescent="0.25">
      <c r="A336">
        <v>335</v>
      </c>
      <c r="B336" t="s">
        <v>292</v>
      </c>
      <c r="C336" t="s">
        <v>432</v>
      </c>
      <c r="D336">
        <v>58300</v>
      </c>
      <c r="E336" t="s">
        <v>38</v>
      </c>
      <c r="F336" t="s">
        <v>20</v>
      </c>
    </row>
    <row r="337" spans="1:6" x14ac:dyDescent="0.25">
      <c r="A337">
        <v>336</v>
      </c>
      <c r="B337" t="s">
        <v>171</v>
      </c>
      <c r="C337" t="s">
        <v>433</v>
      </c>
      <c r="D337">
        <v>5500</v>
      </c>
      <c r="E337" t="s">
        <v>8</v>
      </c>
      <c r="F337" t="s">
        <v>9</v>
      </c>
    </row>
    <row r="338" spans="1:6" x14ac:dyDescent="0.25">
      <c r="A338">
        <v>337</v>
      </c>
      <c r="B338" t="s">
        <v>95</v>
      </c>
      <c r="C338" t="s">
        <v>422</v>
      </c>
      <c r="D338">
        <v>352500</v>
      </c>
      <c r="E338" t="s">
        <v>8</v>
      </c>
      <c r="F338" t="s">
        <v>9</v>
      </c>
    </row>
    <row r="339" spans="1:6" x14ac:dyDescent="0.25">
      <c r="A339">
        <v>338</v>
      </c>
      <c r="B339" t="s">
        <v>312</v>
      </c>
      <c r="C339" t="s">
        <v>423</v>
      </c>
      <c r="D339">
        <v>175500</v>
      </c>
      <c r="E339" t="s">
        <v>8</v>
      </c>
      <c r="F339" t="s">
        <v>9</v>
      </c>
    </row>
    <row r="340" spans="1:6" x14ac:dyDescent="0.25">
      <c r="A340">
        <v>339</v>
      </c>
      <c r="B340" t="s">
        <v>37</v>
      </c>
      <c r="C340" t="s">
        <v>424</v>
      </c>
      <c r="D340">
        <v>64800</v>
      </c>
      <c r="E340" t="s">
        <v>8</v>
      </c>
      <c r="F340" t="s">
        <v>9</v>
      </c>
    </row>
    <row r="341" spans="1:6" x14ac:dyDescent="0.25">
      <c r="A341">
        <v>340</v>
      </c>
      <c r="B341" t="s">
        <v>419</v>
      </c>
      <c r="C341" t="s">
        <v>425</v>
      </c>
      <c r="D341">
        <v>25700</v>
      </c>
      <c r="E341" t="s">
        <v>8</v>
      </c>
      <c r="F341" t="s">
        <v>9</v>
      </c>
    </row>
    <row r="342" spans="1:6" x14ac:dyDescent="0.25">
      <c r="A342">
        <v>341</v>
      </c>
      <c r="B342" t="s">
        <v>292</v>
      </c>
      <c r="C342" t="s">
        <v>426</v>
      </c>
      <c r="D342">
        <v>9200</v>
      </c>
      <c r="E342" t="s">
        <v>8</v>
      </c>
      <c r="F342" t="s">
        <v>9</v>
      </c>
    </row>
    <row r="343" spans="1:6" x14ac:dyDescent="0.25">
      <c r="A343">
        <v>342</v>
      </c>
      <c r="B343" t="s">
        <v>110</v>
      </c>
      <c r="C343" t="s">
        <v>427</v>
      </c>
      <c r="D343">
        <v>23800</v>
      </c>
      <c r="E343" t="s">
        <v>8</v>
      </c>
      <c r="F343" t="s">
        <v>9</v>
      </c>
    </row>
    <row r="344" spans="1:6" x14ac:dyDescent="0.25">
      <c r="A344">
        <v>343</v>
      </c>
      <c r="B344" t="s">
        <v>348</v>
      </c>
      <c r="C344" t="s">
        <v>428</v>
      </c>
      <c r="D344">
        <v>23000</v>
      </c>
      <c r="E344" t="s">
        <v>8</v>
      </c>
      <c r="F344" t="s">
        <v>9</v>
      </c>
    </row>
    <row r="345" spans="1:6" x14ac:dyDescent="0.25">
      <c r="A345">
        <v>344</v>
      </c>
      <c r="B345" t="s">
        <v>391</v>
      </c>
      <c r="C345" t="s">
        <v>429</v>
      </c>
      <c r="D345">
        <v>111400</v>
      </c>
      <c r="E345" t="s">
        <v>8</v>
      </c>
      <c r="F345" t="s">
        <v>9</v>
      </c>
    </row>
    <row r="346" spans="1:6" x14ac:dyDescent="0.25">
      <c r="A346">
        <v>345</v>
      </c>
      <c r="B346" t="s">
        <v>121</v>
      </c>
      <c r="C346" t="s">
        <v>430</v>
      </c>
      <c r="D346">
        <v>57600</v>
      </c>
      <c r="E346" t="s">
        <v>8</v>
      </c>
      <c r="F346" t="s">
        <v>9</v>
      </c>
    </row>
    <row r="347" spans="1:6" x14ac:dyDescent="0.25">
      <c r="A347">
        <v>346</v>
      </c>
      <c r="B347" t="s">
        <v>69</v>
      </c>
      <c r="C347" t="s">
        <v>431</v>
      </c>
      <c r="D347">
        <v>83200</v>
      </c>
      <c r="E347" t="s">
        <v>8</v>
      </c>
      <c r="F347" t="s">
        <v>9</v>
      </c>
    </row>
    <row r="348" spans="1:6" x14ac:dyDescent="0.25">
      <c r="A348">
        <v>347</v>
      </c>
      <c r="B348" t="s">
        <v>110</v>
      </c>
      <c r="C348" t="s">
        <v>432</v>
      </c>
      <c r="D348">
        <v>98900</v>
      </c>
      <c r="E348" t="s">
        <v>8</v>
      </c>
      <c r="F348" t="s">
        <v>9</v>
      </c>
    </row>
    <row r="349" spans="1:6" x14ac:dyDescent="0.25">
      <c r="A349">
        <v>348</v>
      </c>
      <c r="B349" t="s">
        <v>129</v>
      </c>
      <c r="C349" t="s">
        <v>433</v>
      </c>
      <c r="D349">
        <v>15100</v>
      </c>
      <c r="E349" t="s">
        <v>8</v>
      </c>
      <c r="F349" t="s">
        <v>9</v>
      </c>
    </row>
    <row r="350" spans="1:6" x14ac:dyDescent="0.25">
      <c r="A350">
        <v>349</v>
      </c>
      <c r="B350" t="s">
        <v>232</v>
      </c>
      <c r="C350" t="s">
        <v>422</v>
      </c>
      <c r="D350">
        <v>57400</v>
      </c>
      <c r="E350" t="s">
        <v>8</v>
      </c>
      <c r="F350" t="s">
        <v>9</v>
      </c>
    </row>
    <row r="351" spans="1:6" x14ac:dyDescent="0.25">
      <c r="A351">
        <v>350</v>
      </c>
      <c r="B351" t="s">
        <v>281</v>
      </c>
      <c r="C351" t="s">
        <v>423</v>
      </c>
      <c r="D351">
        <v>65400</v>
      </c>
      <c r="E351" t="s">
        <v>23</v>
      </c>
      <c r="F351" t="s">
        <v>9</v>
      </c>
    </row>
    <row r="352" spans="1:6" x14ac:dyDescent="0.25">
      <c r="A352">
        <v>351</v>
      </c>
      <c r="B352" t="s">
        <v>343</v>
      </c>
      <c r="C352" t="s">
        <v>424</v>
      </c>
      <c r="D352">
        <v>23900</v>
      </c>
      <c r="E352" t="s">
        <v>8</v>
      </c>
      <c r="F352" t="s">
        <v>9</v>
      </c>
    </row>
    <row r="353" spans="1:6" x14ac:dyDescent="0.25">
      <c r="A353">
        <v>352</v>
      </c>
      <c r="B353" t="s">
        <v>192</v>
      </c>
      <c r="C353" t="s">
        <v>425</v>
      </c>
      <c r="D353">
        <v>39300</v>
      </c>
      <c r="E353" t="s">
        <v>8</v>
      </c>
      <c r="F353" t="s">
        <v>9</v>
      </c>
    </row>
    <row r="354" spans="1:6" x14ac:dyDescent="0.25">
      <c r="A354">
        <v>353</v>
      </c>
      <c r="B354" t="s">
        <v>114</v>
      </c>
      <c r="C354" t="s">
        <v>426</v>
      </c>
      <c r="D354">
        <v>9700</v>
      </c>
      <c r="E354" t="s">
        <v>8</v>
      </c>
      <c r="F354" t="s">
        <v>9</v>
      </c>
    </row>
    <row r="355" spans="1:6" x14ac:dyDescent="0.25">
      <c r="A355">
        <v>354</v>
      </c>
      <c r="B355" t="s">
        <v>92</v>
      </c>
      <c r="C355" t="s">
        <v>427</v>
      </c>
      <c r="D355">
        <v>26000</v>
      </c>
      <c r="E355" t="s">
        <v>8</v>
      </c>
      <c r="F355" t="s">
        <v>9</v>
      </c>
    </row>
    <row r="356" spans="1:6" x14ac:dyDescent="0.25">
      <c r="A356">
        <v>355</v>
      </c>
      <c r="B356" t="s">
        <v>235</v>
      </c>
      <c r="C356" t="s">
        <v>428</v>
      </c>
      <c r="D356">
        <v>75300</v>
      </c>
      <c r="E356" t="s">
        <v>8</v>
      </c>
      <c r="F356" t="s">
        <v>9</v>
      </c>
    </row>
    <row r="357" spans="1:6" x14ac:dyDescent="0.25">
      <c r="A357">
        <v>356</v>
      </c>
      <c r="B357" t="s">
        <v>162</v>
      </c>
      <c r="C357" t="s">
        <v>429</v>
      </c>
      <c r="D357">
        <v>17600</v>
      </c>
      <c r="E357" t="s">
        <v>38</v>
      </c>
      <c r="F357" t="s">
        <v>9</v>
      </c>
    </row>
    <row r="358" spans="1:6" x14ac:dyDescent="0.25">
      <c r="A358">
        <v>357</v>
      </c>
      <c r="B358" t="s">
        <v>229</v>
      </c>
      <c r="C358" t="s">
        <v>430</v>
      </c>
      <c r="D358">
        <v>75300</v>
      </c>
      <c r="E358" t="s">
        <v>8</v>
      </c>
      <c r="F358" t="s">
        <v>9</v>
      </c>
    </row>
    <row r="359" spans="1:6" x14ac:dyDescent="0.25">
      <c r="A359">
        <v>358</v>
      </c>
      <c r="B359" t="s">
        <v>226</v>
      </c>
      <c r="C359" t="s">
        <v>431</v>
      </c>
      <c r="D359">
        <v>10300</v>
      </c>
      <c r="E359" t="s">
        <v>8</v>
      </c>
      <c r="F359" t="s">
        <v>9</v>
      </c>
    </row>
    <row r="360" spans="1:6" x14ac:dyDescent="0.25">
      <c r="A360">
        <v>359</v>
      </c>
      <c r="B360" t="s">
        <v>80</v>
      </c>
      <c r="C360" t="s">
        <v>429</v>
      </c>
      <c r="D360">
        <v>0</v>
      </c>
      <c r="E360" t="s">
        <v>38</v>
      </c>
      <c r="F360" t="s">
        <v>20</v>
      </c>
    </row>
    <row r="361" spans="1:6" x14ac:dyDescent="0.25">
      <c r="A361">
        <v>360</v>
      </c>
      <c r="B361" t="s">
        <v>418</v>
      </c>
      <c r="C361" t="s">
        <v>433</v>
      </c>
      <c r="D361">
        <v>41500</v>
      </c>
      <c r="E361" t="s">
        <v>8</v>
      </c>
      <c r="F361" t="s">
        <v>9</v>
      </c>
    </row>
    <row r="362" spans="1:6" x14ac:dyDescent="0.25">
      <c r="A362">
        <v>361</v>
      </c>
      <c r="B362" t="s">
        <v>402</v>
      </c>
      <c r="C362" t="s">
        <v>422</v>
      </c>
      <c r="D362">
        <v>249200</v>
      </c>
      <c r="E362" t="s">
        <v>8</v>
      </c>
      <c r="F362" t="s">
        <v>9</v>
      </c>
    </row>
    <row r="363" spans="1:6" x14ac:dyDescent="0.25">
      <c r="A363">
        <v>362</v>
      </c>
      <c r="B363" t="s">
        <v>364</v>
      </c>
      <c r="C363" t="s">
        <v>423</v>
      </c>
      <c r="D363">
        <v>15500</v>
      </c>
      <c r="E363" t="s">
        <v>8</v>
      </c>
      <c r="F363" t="s">
        <v>20</v>
      </c>
    </row>
    <row r="364" spans="1:6" x14ac:dyDescent="0.25">
      <c r="A364">
        <v>363</v>
      </c>
      <c r="B364" t="s">
        <v>142</v>
      </c>
      <c r="C364" t="s">
        <v>424</v>
      </c>
      <c r="D364">
        <v>209800</v>
      </c>
      <c r="E364" t="s">
        <v>8</v>
      </c>
      <c r="F364" t="s">
        <v>9</v>
      </c>
    </row>
    <row r="365" spans="1:6" x14ac:dyDescent="0.25">
      <c r="A365">
        <v>364</v>
      </c>
      <c r="B365" t="s">
        <v>126</v>
      </c>
      <c r="C365" t="s">
        <v>425</v>
      </c>
      <c r="D365">
        <v>70100</v>
      </c>
      <c r="E365" t="s">
        <v>8</v>
      </c>
      <c r="F365" t="s">
        <v>9</v>
      </c>
    </row>
    <row r="366" spans="1:6" x14ac:dyDescent="0.25">
      <c r="A366">
        <v>365</v>
      </c>
      <c r="B366" t="s">
        <v>280</v>
      </c>
      <c r="C366" t="s">
        <v>426</v>
      </c>
      <c r="D366">
        <v>23800</v>
      </c>
      <c r="E366" t="s">
        <v>8</v>
      </c>
      <c r="F366" t="s">
        <v>9</v>
      </c>
    </row>
    <row r="367" spans="1:6" x14ac:dyDescent="0.25">
      <c r="A367">
        <v>366</v>
      </c>
      <c r="B367" t="s">
        <v>242</v>
      </c>
      <c r="C367" t="s">
        <v>427</v>
      </c>
      <c r="D367">
        <v>87000</v>
      </c>
      <c r="E367" t="s">
        <v>23</v>
      </c>
      <c r="F367" t="s">
        <v>9</v>
      </c>
    </row>
    <row r="368" spans="1:6" x14ac:dyDescent="0.25">
      <c r="A368">
        <v>367</v>
      </c>
      <c r="B368" t="s">
        <v>177</v>
      </c>
      <c r="C368" t="s">
        <v>428</v>
      </c>
      <c r="D368">
        <v>13100</v>
      </c>
      <c r="E368" t="s">
        <v>8</v>
      </c>
      <c r="F368" t="s">
        <v>9</v>
      </c>
    </row>
    <row r="369" spans="1:6" x14ac:dyDescent="0.25">
      <c r="A369">
        <v>368</v>
      </c>
      <c r="B369" t="s">
        <v>202</v>
      </c>
      <c r="C369" t="s">
        <v>429</v>
      </c>
      <c r="D369">
        <v>25700</v>
      </c>
      <c r="E369" t="s">
        <v>8</v>
      </c>
      <c r="F369" t="s">
        <v>9</v>
      </c>
    </row>
    <row r="370" spans="1:6" x14ac:dyDescent="0.25">
      <c r="A370">
        <v>369</v>
      </c>
      <c r="B370" t="s">
        <v>114</v>
      </c>
      <c r="C370" t="s">
        <v>430</v>
      </c>
      <c r="D370">
        <v>159000</v>
      </c>
      <c r="E370" t="s">
        <v>8</v>
      </c>
      <c r="F370" t="s">
        <v>9</v>
      </c>
    </row>
    <row r="371" spans="1:6" x14ac:dyDescent="0.25">
      <c r="A371">
        <v>370</v>
      </c>
      <c r="B371" t="s">
        <v>145</v>
      </c>
      <c r="C371" t="s">
        <v>431</v>
      </c>
      <c r="D371">
        <v>19300</v>
      </c>
      <c r="E371" t="s">
        <v>8</v>
      </c>
      <c r="F371" t="s">
        <v>9</v>
      </c>
    </row>
    <row r="372" spans="1:6" x14ac:dyDescent="0.25">
      <c r="A372">
        <v>371</v>
      </c>
      <c r="B372" t="s">
        <v>126</v>
      </c>
      <c r="C372" t="s">
        <v>432</v>
      </c>
      <c r="D372">
        <v>82400</v>
      </c>
      <c r="E372" t="s">
        <v>8</v>
      </c>
      <c r="F372" t="s">
        <v>9</v>
      </c>
    </row>
    <row r="373" spans="1:6" x14ac:dyDescent="0.25">
      <c r="A373">
        <v>372</v>
      </c>
      <c r="B373" t="s">
        <v>247</v>
      </c>
      <c r="C373" t="s">
        <v>433</v>
      </c>
      <c r="D373">
        <v>153400</v>
      </c>
      <c r="E373" t="s">
        <v>8</v>
      </c>
      <c r="F373" t="s">
        <v>9</v>
      </c>
    </row>
    <row r="374" spans="1:6" x14ac:dyDescent="0.25">
      <c r="A374">
        <v>373</v>
      </c>
      <c r="B374" t="s">
        <v>336</v>
      </c>
      <c r="C374" t="s">
        <v>422</v>
      </c>
      <c r="D374">
        <v>57900</v>
      </c>
      <c r="E374" t="s">
        <v>8</v>
      </c>
      <c r="F374" t="s">
        <v>9</v>
      </c>
    </row>
    <row r="375" spans="1:6" x14ac:dyDescent="0.25">
      <c r="A375">
        <v>374</v>
      </c>
      <c r="B375" t="s">
        <v>55</v>
      </c>
      <c r="C375" t="s">
        <v>423</v>
      </c>
      <c r="D375">
        <v>56200</v>
      </c>
      <c r="E375" t="s">
        <v>8</v>
      </c>
      <c r="F375" t="s">
        <v>9</v>
      </c>
    </row>
    <row r="376" spans="1:6" x14ac:dyDescent="0.25">
      <c r="A376">
        <v>375</v>
      </c>
      <c r="B376" t="s">
        <v>48</v>
      </c>
      <c r="C376" t="s">
        <v>424</v>
      </c>
      <c r="D376">
        <v>20500</v>
      </c>
      <c r="E376" t="s">
        <v>8</v>
      </c>
      <c r="F376" t="s">
        <v>9</v>
      </c>
    </row>
    <row r="377" spans="1:6" x14ac:dyDescent="0.25">
      <c r="A377">
        <v>376</v>
      </c>
      <c r="B377" t="s">
        <v>115</v>
      </c>
      <c r="C377" t="s">
        <v>425</v>
      </c>
      <c r="D377">
        <v>7100</v>
      </c>
      <c r="E377" t="s">
        <v>8</v>
      </c>
      <c r="F377" t="s">
        <v>9</v>
      </c>
    </row>
    <row r="378" spans="1:6" x14ac:dyDescent="0.25">
      <c r="A378">
        <v>377</v>
      </c>
      <c r="B378" t="s">
        <v>285</v>
      </c>
      <c r="C378" t="s">
        <v>426</v>
      </c>
      <c r="D378">
        <v>55200</v>
      </c>
      <c r="E378" t="s">
        <v>8</v>
      </c>
      <c r="F378" t="s">
        <v>9</v>
      </c>
    </row>
    <row r="379" spans="1:6" x14ac:dyDescent="0.25">
      <c r="A379">
        <v>378</v>
      </c>
      <c r="B379" t="s">
        <v>139</v>
      </c>
      <c r="C379" t="s">
        <v>427</v>
      </c>
      <c r="D379">
        <v>56700</v>
      </c>
      <c r="E379" t="s">
        <v>8</v>
      </c>
      <c r="F379" t="s">
        <v>9</v>
      </c>
    </row>
    <row r="380" spans="1:6" x14ac:dyDescent="0.25">
      <c r="A380">
        <v>379</v>
      </c>
      <c r="B380" t="s">
        <v>37</v>
      </c>
      <c r="C380" t="s">
        <v>428</v>
      </c>
      <c r="D380">
        <v>13900</v>
      </c>
      <c r="E380" t="s">
        <v>8</v>
      </c>
      <c r="F380" t="s">
        <v>9</v>
      </c>
    </row>
    <row r="381" spans="1:6" x14ac:dyDescent="0.25">
      <c r="A381">
        <v>380</v>
      </c>
      <c r="B381" t="s">
        <v>361</v>
      </c>
      <c r="C381" t="s">
        <v>429</v>
      </c>
      <c r="D381">
        <v>12300</v>
      </c>
      <c r="E381" t="s">
        <v>8</v>
      </c>
      <c r="F381" t="s">
        <v>9</v>
      </c>
    </row>
    <row r="382" spans="1:6" x14ac:dyDescent="0.25">
      <c r="A382">
        <v>381</v>
      </c>
      <c r="B382" t="s">
        <v>69</v>
      </c>
      <c r="C382" t="s">
        <v>430</v>
      </c>
      <c r="D382">
        <v>8300</v>
      </c>
      <c r="E382" t="s">
        <v>8</v>
      </c>
      <c r="F382" t="s">
        <v>9</v>
      </c>
    </row>
    <row r="383" spans="1:6" x14ac:dyDescent="0.25">
      <c r="A383">
        <v>382</v>
      </c>
      <c r="B383" t="s">
        <v>190</v>
      </c>
      <c r="C383" t="s">
        <v>431</v>
      </c>
      <c r="D383">
        <v>131300</v>
      </c>
      <c r="E383" t="s">
        <v>8</v>
      </c>
      <c r="F383" t="s">
        <v>9</v>
      </c>
    </row>
    <row r="384" spans="1:6" x14ac:dyDescent="0.25">
      <c r="A384">
        <v>383</v>
      </c>
      <c r="B384" t="s">
        <v>240</v>
      </c>
      <c r="C384" t="s">
        <v>425</v>
      </c>
      <c r="D384">
        <v>420000</v>
      </c>
      <c r="E384" t="s">
        <v>8</v>
      </c>
      <c r="F384" t="s">
        <v>9</v>
      </c>
    </row>
    <row r="385" spans="1:6" x14ac:dyDescent="0.25">
      <c r="A385">
        <v>384</v>
      </c>
      <c r="B385" t="s">
        <v>68</v>
      </c>
      <c r="C385" t="s">
        <v>433</v>
      </c>
      <c r="D385">
        <v>15900</v>
      </c>
      <c r="E385" t="s">
        <v>8</v>
      </c>
      <c r="F385" t="s">
        <v>9</v>
      </c>
    </row>
    <row r="386" spans="1:6" x14ac:dyDescent="0.25">
      <c r="A386">
        <v>385</v>
      </c>
      <c r="B386" t="s">
        <v>228</v>
      </c>
      <c r="C386" t="s">
        <v>422</v>
      </c>
      <c r="D386">
        <v>17100</v>
      </c>
      <c r="E386" t="s">
        <v>8</v>
      </c>
      <c r="F386" t="s">
        <v>9</v>
      </c>
    </row>
    <row r="387" spans="1:6" x14ac:dyDescent="0.25">
      <c r="A387">
        <v>386</v>
      </c>
      <c r="B387" t="s">
        <v>183</v>
      </c>
      <c r="C387" t="s">
        <v>423</v>
      </c>
      <c r="D387">
        <v>6100</v>
      </c>
      <c r="E387" t="s">
        <v>8</v>
      </c>
      <c r="F387" t="s">
        <v>9</v>
      </c>
    </row>
    <row r="388" spans="1:6" x14ac:dyDescent="0.25">
      <c r="A388">
        <v>387</v>
      </c>
      <c r="B388" t="s">
        <v>202</v>
      </c>
      <c r="C388" t="s">
        <v>424</v>
      </c>
      <c r="D388">
        <v>128100</v>
      </c>
      <c r="E388" t="s">
        <v>8</v>
      </c>
      <c r="F388" t="s">
        <v>9</v>
      </c>
    </row>
    <row r="389" spans="1:6" x14ac:dyDescent="0.25">
      <c r="A389">
        <v>388</v>
      </c>
      <c r="B389" t="s">
        <v>83</v>
      </c>
      <c r="C389" t="s">
        <v>425</v>
      </c>
      <c r="D389">
        <v>25100</v>
      </c>
      <c r="E389" t="s">
        <v>8</v>
      </c>
      <c r="F389" t="s">
        <v>9</v>
      </c>
    </row>
    <row r="390" spans="1:6" x14ac:dyDescent="0.25">
      <c r="A390">
        <v>389</v>
      </c>
      <c r="B390" t="s">
        <v>35</v>
      </c>
      <c r="C390" t="s">
        <v>426</v>
      </c>
      <c r="D390">
        <v>5000</v>
      </c>
      <c r="E390" t="s">
        <v>8</v>
      </c>
      <c r="F390" t="s">
        <v>9</v>
      </c>
    </row>
    <row r="391" spans="1:6" x14ac:dyDescent="0.25">
      <c r="A391">
        <v>390</v>
      </c>
      <c r="B391" t="s">
        <v>209</v>
      </c>
      <c r="C391" t="s">
        <v>427</v>
      </c>
      <c r="D391">
        <v>42700</v>
      </c>
      <c r="E391" t="s">
        <v>23</v>
      </c>
      <c r="F391" t="s">
        <v>9</v>
      </c>
    </row>
    <row r="392" spans="1:6" x14ac:dyDescent="0.25">
      <c r="A392">
        <v>391</v>
      </c>
      <c r="B392" t="s">
        <v>391</v>
      </c>
      <c r="C392" t="s">
        <v>428</v>
      </c>
      <c r="D392">
        <v>40900</v>
      </c>
      <c r="E392" t="s">
        <v>8</v>
      </c>
      <c r="F392" t="s">
        <v>9</v>
      </c>
    </row>
    <row r="393" spans="1:6" x14ac:dyDescent="0.25">
      <c r="A393">
        <v>392</v>
      </c>
      <c r="B393" t="s">
        <v>343</v>
      </c>
      <c r="C393" t="s">
        <v>429</v>
      </c>
      <c r="D393">
        <v>141500</v>
      </c>
      <c r="E393" t="s">
        <v>8</v>
      </c>
      <c r="F393" t="s">
        <v>9</v>
      </c>
    </row>
    <row r="394" spans="1:6" x14ac:dyDescent="0.25">
      <c r="A394">
        <v>393</v>
      </c>
      <c r="B394" t="s">
        <v>128</v>
      </c>
      <c r="C394" t="s">
        <v>430</v>
      </c>
      <c r="D394">
        <v>5000</v>
      </c>
      <c r="E394" t="s">
        <v>8</v>
      </c>
      <c r="F394" t="s">
        <v>9</v>
      </c>
    </row>
    <row r="395" spans="1:6" x14ac:dyDescent="0.25">
      <c r="A395">
        <v>394</v>
      </c>
      <c r="B395" t="s">
        <v>125</v>
      </c>
      <c r="C395" t="s">
        <v>431</v>
      </c>
      <c r="D395">
        <v>55600</v>
      </c>
      <c r="E395" t="s">
        <v>8</v>
      </c>
      <c r="F395" t="s">
        <v>9</v>
      </c>
    </row>
    <row r="396" spans="1:6" x14ac:dyDescent="0.25">
      <c r="A396">
        <v>395</v>
      </c>
      <c r="B396" t="s">
        <v>263</v>
      </c>
      <c r="C396" t="s">
        <v>432</v>
      </c>
      <c r="D396">
        <v>36600</v>
      </c>
      <c r="E396" t="s">
        <v>8</v>
      </c>
      <c r="F396" t="s">
        <v>9</v>
      </c>
    </row>
    <row r="397" spans="1:6" x14ac:dyDescent="0.25">
      <c r="A397">
        <v>396</v>
      </c>
      <c r="B397" t="s">
        <v>46</v>
      </c>
      <c r="C397" t="s">
        <v>433</v>
      </c>
      <c r="D397">
        <v>104600</v>
      </c>
      <c r="E397" t="s">
        <v>8</v>
      </c>
      <c r="F397" t="s">
        <v>9</v>
      </c>
    </row>
    <row r="398" spans="1:6" x14ac:dyDescent="0.25">
      <c r="A398">
        <v>397</v>
      </c>
      <c r="B398" t="s">
        <v>133</v>
      </c>
      <c r="C398" t="s">
        <v>422</v>
      </c>
      <c r="D398">
        <v>17800</v>
      </c>
      <c r="E398" t="s">
        <v>8</v>
      </c>
      <c r="F398" t="s">
        <v>9</v>
      </c>
    </row>
    <row r="399" spans="1:6" x14ac:dyDescent="0.25">
      <c r="A399">
        <v>398</v>
      </c>
      <c r="B399" t="s">
        <v>197</v>
      </c>
      <c r="C399" t="s">
        <v>423</v>
      </c>
      <c r="D399">
        <v>50100</v>
      </c>
      <c r="E399" t="s">
        <v>8</v>
      </c>
      <c r="F399" t="s">
        <v>20</v>
      </c>
    </row>
    <row r="400" spans="1:6" x14ac:dyDescent="0.25">
      <c r="A400">
        <v>399</v>
      </c>
      <c r="B400" t="s">
        <v>114</v>
      </c>
      <c r="C400" t="s">
        <v>424</v>
      </c>
      <c r="D400">
        <v>27800</v>
      </c>
      <c r="E400" t="s">
        <v>23</v>
      </c>
      <c r="F400" t="s">
        <v>9</v>
      </c>
    </row>
    <row r="401" spans="1:6" x14ac:dyDescent="0.25">
      <c r="A401">
        <v>400</v>
      </c>
      <c r="B401" t="s">
        <v>403</v>
      </c>
      <c r="C401" t="s">
        <v>425</v>
      </c>
      <c r="D401">
        <v>35100</v>
      </c>
      <c r="E401" t="s">
        <v>8</v>
      </c>
      <c r="F401" t="s">
        <v>9</v>
      </c>
    </row>
    <row r="402" spans="1:6" x14ac:dyDescent="0.25">
      <c r="A402">
        <v>401</v>
      </c>
      <c r="B402" t="s">
        <v>88</v>
      </c>
      <c r="C402" t="s">
        <v>426</v>
      </c>
      <c r="D402">
        <v>27400</v>
      </c>
      <c r="E402" t="s">
        <v>8</v>
      </c>
      <c r="F402" t="s">
        <v>9</v>
      </c>
    </row>
    <row r="403" spans="1:6" x14ac:dyDescent="0.25">
      <c r="A403">
        <v>402</v>
      </c>
      <c r="B403" t="s">
        <v>133</v>
      </c>
      <c r="C403" t="s">
        <v>427</v>
      </c>
      <c r="D403">
        <v>11300</v>
      </c>
      <c r="E403" t="s">
        <v>8</v>
      </c>
      <c r="F403" t="s">
        <v>9</v>
      </c>
    </row>
    <row r="404" spans="1:6" x14ac:dyDescent="0.25">
      <c r="A404">
        <v>403</v>
      </c>
      <c r="B404" t="s">
        <v>319</v>
      </c>
      <c r="C404" t="s">
        <v>428</v>
      </c>
      <c r="D404">
        <v>15400</v>
      </c>
      <c r="E404" t="s">
        <v>8</v>
      </c>
      <c r="F404" t="s">
        <v>9</v>
      </c>
    </row>
    <row r="405" spans="1:6" x14ac:dyDescent="0.25">
      <c r="A405">
        <v>404</v>
      </c>
      <c r="B405" t="s">
        <v>249</v>
      </c>
      <c r="C405" t="s">
        <v>429</v>
      </c>
      <c r="D405">
        <v>9500</v>
      </c>
      <c r="E405" t="s">
        <v>8</v>
      </c>
      <c r="F405" t="s">
        <v>9</v>
      </c>
    </row>
    <row r="406" spans="1:6" x14ac:dyDescent="0.25">
      <c r="A406">
        <v>405</v>
      </c>
      <c r="B406" t="s">
        <v>331</v>
      </c>
      <c r="C406" t="s">
        <v>430</v>
      </c>
      <c r="D406">
        <v>19800</v>
      </c>
      <c r="E406" t="s">
        <v>8</v>
      </c>
      <c r="F406" t="s">
        <v>9</v>
      </c>
    </row>
    <row r="407" spans="1:6" x14ac:dyDescent="0.25">
      <c r="A407">
        <v>406</v>
      </c>
      <c r="B407" t="s">
        <v>179</v>
      </c>
      <c r="C407" t="s">
        <v>431</v>
      </c>
      <c r="D407">
        <v>14100</v>
      </c>
      <c r="E407" t="s">
        <v>23</v>
      </c>
      <c r="F407" t="s">
        <v>9</v>
      </c>
    </row>
    <row r="408" spans="1:6" x14ac:dyDescent="0.25">
      <c r="A408">
        <v>407</v>
      </c>
      <c r="B408" t="s">
        <v>57</v>
      </c>
      <c r="C408" t="s">
        <v>432</v>
      </c>
      <c r="D408">
        <v>26800</v>
      </c>
      <c r="E408" t="s">
        <v>8</v>
      </c>
      <c r="F408" t="s">
        <v>9</v>
      </c>
    </row>
    <row r="409" spans="1:6" x14ac:dyDescent="0.25">
      <c r="A409">
        <v>408</v>
      </c>
      <c r="B409" t="s">
        <v>318</v>
      </c>
      <c r="C409" t="s">
        <v>433</v>
      </c>
      <c r="D409">
        <v>51200</v>
      </c>
      <c r="E409" t="s">
        <v>8</v>
      </c>
      <c r="F409" t="s">
        <v>9</v>
      </c>
    </row>
    <row r="410" spans="1:6" x14ac:dyDescent="0.25">
      <c r="A410">
        <v>409</v>
      </c>
      <c r="B410" t="s">
        <v>113</v>
      </c>
      <c r="C410" t="s">
        <v>422</v>
      </c>
      <c r="D410">
        <v>53600</v>
      </c>
      <c r="E410" t="s">
        <v>8</v>
      </c>
      <c r="F410" t="s">
        <v>9</v>
      </c>
    </row>
    <row r="411" spans="1:6" x14ac:dyDescent="0.25">
      <c r="A411">
        <v>410</v>
      </c>
      <c r="B411" t="s">
        <v>266</v>
      </c>
      <c r="C411" t="s">
        <v>423</v>
      </c>
      <c r="D411">
        <v>35200</v>
      </c>
      <c r="E411" t="s">
        <v>8</v>
      </c>
      <c r="F411" t="s">
        <v>9</v>
      </c>
    </row>
    <row r="412" spans="1:6" x14ac:dyDescent="0.25">
      <c r="A412">
        <v>411</v>
      </c>
      <c r="B412" t="s">
        <v>69</v>
      </c>
      <c r="C412" t="s">
        <v>424</v>
      </c>
      <c r="D412">
        <v>11500</v>
      </c>
      <c r="E412" t="s">
        <v>8</v>
      </c>
      <c r="F412" t="s">
        <v>9</v>
      </c>
    </row>
    <row r="413" spans="1:6" x14ac:dyDescent="0.25">
      <c r="A413">
        <v>412</v>
      </c>
      <c r="B413" t="s">
        <v>258</v>
      </c>
      <c r="C413" t="s">
        <v>425</v>
      </c>
      <c r="D413">
        <v>229500</v>
      </c>
      <c r="E413" t="s">
        <v>8</v>
      </c>
      <c r="F413" t="s">
        <v>9</v>
      </c>
    </row>
    <row r="414" spans="1:6" x14ac:dyDescent="0.25">
      <c r="A414">
        <v>413</v>
      </c>
      <c r="B414" t="s">
        <v>101</v>
      </c>
      <c r="C414" t="s">
        <v>426</v>
      </c>
      <c r="D414">
        <v>41600</v>
      </c>
      <c r="E414" t="s">
        <v>8</v>
      </c>
      <c r="F414" t="s">
        <v>9</v>
      </c>
    </row>
    <row r="415" spans="1:6" x14ac:dyDescent="0.25">
      <c r="A415">
        <v>414</v>
      </c>
      <c r="B415" t="s">
        <v>60</v>
      </c>
      <c r="C415" t="s">
        <v>427</v>
      </c>
      <c r="D415">
        <v>120500</v>
      </c>
      <c r="E415" t="s">
        <v>8</v>
      </c>
      <c r="F415" t="s">
        <v>9</v>
      </c>
    </row>
    <row r="416" spans="1:6" x14ac:dyDescent="0.25">
      <c r="A416">
        <v>415</v>
      </c>
      <c r="B416" t="s">
        <v>258</v>
      </c>
      <c r="C416" t="s">
        <v>428</v>
      </c>
      <c r="D416">
        <v>12700</v>
      </c>
      <c r="E416" t="s">
        <v>8</v>
      </c>
      <c r="F416" t="s">
        <v>9</v>
      </c>
    </row>
    <row r="417" spans="1:6" x14ac:dyDescent="0.25">
      <c r="A417">
        <v>416</v>
      </c>
      <c r="B417" t="s">
        <v>185</v>
      </c>
      <c r="C417" t="s">
        <v>429</v>
      </c>
      <c r="D417">
        <v>6800</v>
      </c>
      <c r="E417" t="s">
        <v>8</v>
      </c>
      <c r="F417" t="s">
        <v>9</v>
      </c>
    </row>
    <row r="418" spans="1:6" x14ac:dyDescent="0.25">
      <c r="A418">
        <v>417</v>
      </c>
      <c r="B418" t="s">
        <v>95</v>
      </c>
      <c r="C418" t="s">
        <v>430</v>
      </c>
      <c r="D418">
        <v>19500</v>
      </c>
      <c r="E418" t="s">
        <v>8</v>
      </c>
      <c r="F418" t="s">
        <v>9</v>
      </c>
    </row>
    <row r="419" spans="1:6" x14ac:dyDescent="0.25">
      <c r="A419">
        <v>418</v>
      </c>
      <c r="B419" t="s">
        <v>351</v>
      </c>
      <c r="C419" t="s">
        <v>431</v>
      </c>
      <c r="D419">
        <v>22200</v>
      </c>
      <c r="E419" t="s">
        <v>8</v>
      </c>
      <c r="F419" t="s">
        <v>9</v>
      </c>
    </row>
    <row r="420" spans="1:6" x14ac:dyDescent="0.25">
      <c r="A420">
        <v>419</v>
      </c>
      <c r="B420" t="s">
        <v>322</v>
      </c>
      <c r="C420" t="s">
        <v>432</v>
      </c>
      <c r="D420">
        <v>16400</v>
      </c>
      <c r="E420" t="s">
        <v>8</v>
      </c>
      <c r="F420" t="s">
        <v>9</v>
      </c>
    </row>
    <row r="421" spans="1:6" x14ac:dyDescent="0.25">
      <c r="A421">
        <v>420</v>
      </c>
      <c r="B421" t="s">
        <v>221</v>
      </c>
      <c r="C421" t="s">
        <v>433</v>
      </c>
      <c r="D421">
        <v>17200</v>
      </c>
      <c r="E421" t="s">
        <v>8</v>
      </c>
      <c r="F421" t="s">
        <v>9</v>
      </c>
    </row>
    <row r="422" spans="1:6" x14ac:dyDescent="0.25">
      <c r="A422">
        <v>421</v>
      </c>
      <c r="B422" t="s">
        <v>137</v>
      </c>
      <c r="C422" t="s">
        <v>422</v>
      </c>
      <c r="D422">
        <v>55000</v>
      </c>
      <c r="E422" t="s">
        <v>8</v>
      </c>
      <c r="F422" t="s">
        <v>9</v>
      </c>
    </row>
    <row r="423" spans="1:6" x14ac:dyDescent="0.25">
      <c r="A423">
        <v>422</v>
      </c>
      <c r="B423" t="s">
        <v>144</v>
      </c>
      <c r="C423" t="s">
        <v>423</v>
      </c>
      <c r="D423">
        <v>13400</v>
      </c>
      <c r="E423" t="s">
        <v>38</v>
      </c>
      <c r="F423" t="s">
        <v>20</v>
      </c>
    </row>
    <row r="424" spans="1:6" x14ac:dyDescent="0.25">
      <c r="A424">
        <v>423</v>
      </c>
      <c r="B424" t="s">
        <v>339</v>
      </c>
      <c r="C424" t="s">
        <v>424</v>
      </c>
      <c r="D424">
        <v>96600</v>
      </c>
      <c r="E424" t="s">
        <v>8</v>
      </c>
      <c r="F424" t="s">
        <v>9</v>
      </c>
    </row>
    <row r="425" spans="1:6" x14ac:dyDescent="0.25">
      <c r="A425">
        <v>424</v>
      </c>
      <c r="B425" t="s">
        <v>139</v>
      </c>
      <c r="C425" t="s">
        <v>425</v>
      </c>
      <c r="D425">
        <v>39900</v>
      </c>
      <c r="E425" t="s">
        <v>8</v>
      </c>
      <c r="F425" t="s">
        <v>9</v>
      </c>
    </row>
    <row r="426" spans="1:6" x14ac:dyDescent="0.25">
      <c r="A426">
        <v>425</v>
      </c>
      <c r="B426" t="s">
        <v>418</v>
      </c>
      <c r="C426" t="s">
        <v>426</v>
      </c>
      <c r="D426">
        <v>27900</v>
      </c>
      <c r="E426" t="s">
        <v>38</v>
      </c>
      <c r="F426" t="s">
        <v>20</v>
      </c>
    </row>
    <row r="427" spans="1:6" x14ac:dyDescent="0.25">
      <c r="A427">
        <v>426</v>
      </c>
      <c r="B427" t="s">
        <v>67</v>
      </c>
      <c r="C427" t="s">
        <v>427</v>
      </c>
      <c r="D427">
        <v>121100</v>
      </c>
      <c r="E427" t="s">
        <v>8</v>
      </c>
      <c r="F427" t="s">
        <v>9</v>
      </c>
    </row>
    <row r="428" spans="1:6" x14ac:dyDescent="0.25">
      <c r="A428">
        <v>427</v>
      </c>
      <c r="B428" t="s">
        <v>211</v>
      </c>
      <c r="C428" t="s">
        <v>428</v>
      </c>
      <c r="D428">
        <v>14900</v>
      </c>
      <c r="E428" t="s">
        <v>8</v>
      </c>
      <c r="F428" t="s">
        <v>9</v>
      </c>
    </row>
    <row r="429" spans="1:6" x14ac:dyDescent="0.25">
      <c r="A429">
        <v>428</v>
      </c>
      <c r="B429" t="s">
        <v>26</v>
      </c>
      <c r="C429" t="s">
        <v>429</v>
      </c>
      <c r="D429">
        <v>14200</v>
      </c>
      <c r="E429" t="s">
        <v>23</v>
      </c>
      <c r="F429" t="s">
        <v>9</v>
      </c>
    </row>
    <row r="430" spans="1:6" x14ac:dyDescent="0.25">
      <c r="A430">
        <v>429</v>
      </c>
      <c r="B430" t="s">
        <v>402</v>
      </c>
      <c r="C430" t="s">
        <v>430</v>
      </c>
      <c r="D430">
        <v>69800</v>
      </c>
      <c r="E430" t="s">
        <v>8</v>
      </c>
      <c r="F430" t="s">
        <v>9</v>
      </c>
    </row>
    <row r="431" spans="1:6" x14ac:dyDescent="0.25">
      <c r="A431">
        <v>430</v>
      </c>
      <c r="B431" t="s">
        <v>28</v>
      </c>
      <c r="C431" t="s">
        <v>431</v>
      </c>
      <c r="D431">
        <v>35100</v>
      </c>
      <c r="E431" t="s">
        <v>8</v>
      </c>
      <c r="F431" t="s">
        <v>9</v>
      </c>
    </row>
    <row r="432" spans="1:6" x14ac:dyDescent="0.25">
      <c r="A432">
        <v>431</v>
      </c>
      <c r="B432" t="s">
        <v>96</v>
      </c>
      <c r="C432" t="s">
        <v>432</v>
      </c>
      <c r="D432">
        <v>182700</v>
      </c>
      <c r="E432" t="s">
        <v>8</v>
      </c>
      <c r="F432" t="s">
        <v>9</v>
      </c>
    </row>
    <row r="433" spans="1:6" x14ac:dyDescent="0.25">
      <c r="A433">
        <v>432</v>
      </c>
      <c r="B433" t="s">
        <v>143</v>
      </c>
      <c r="C433" t="s">
        <v>433</v>
      </c>
      <c r="D433">
        <v>90500</v>
      </c>
      <c r="E433" t="s">
        <v>8</v>
      </c>
      <c r="F433" t="s">
        <v>9</v>
      </c>
    </row>
    <row r="434" spans="1:6" x14ac:dyDescent="0.25">
      <c r="A434">
        <v>433</v>
      </c>
      <c r="B434" t="s">
        <v>241</v>
      </c>
      <c r="C434" t="s">
        <v>422</v>
      </c>
      <c r="D434">
        <v>51500</v>
      </c>
      <c r="E434" t="s">
        <v>8</v>
      </c>
      <c r="F434" t="s">
        <v>9</v>
      </c>
    </row>
    <row r="435" spans="1:6" x14ac:dyDescent="0.25">
      <c r="A435">
        <v>434</v>
      </c>
      <c r="B435" t="s">
        <v>236</v>
      </c>
      <c r="C435" t="s">
        <v>423</v>
      </c>
      <c r="D435">
        <v>29900</v>
      </c>
      <c r="E435" t="s">
        <v>8</v>
      </c>
      <c r="F435" t="s">
        <v>9</v>
      </c>
    </row>
    <row r="436" spans="1:6" x14ac:dyDescent="0.25">
      <c r="A436">
        <v>435</v>
      </c>
      <c r="B436" t="s">
        <v>117</v>
      </c>
      <c r="C436" t="s">
        <v>424</v>
      </c>
      <c r="D436">
        <v>32400</v>
      </c>
      <c r="E436" t="s">
        <v>8</v>
      </c>
      <c r="F436" t="s">
        <v>9</v>
      </c>
    </row>
    <row r="437" spans="1:6" x14ac:dyDescent="0.25">
      <c r="A437">
        <v>436</v>
      </c>
      <c r="B437" t="s">
        <v>181</v>
      </c>
      <c r="C437" t="s">
        <v>425</v>
      </c>
      <c r="D437">
        <v>122200</v>
      </c>
      <c r="E437" t="s">
        <v>8</v>
      </c>
      <c r="F437" t="s">
        <v>9</v>
      </c>
    </row>
    <row r="438" spans="1:6" x14ac:dyDescent="0.25">
      <c r="A438">
        <v>437</v>
      </c>
      <c r="B438" t="s">
        <v>152</v>
      </c>
      <c r="C438" t="s">
        <v>426</v>
      </c>
      <c r="D438">
        <v>15600</v>
      </c>
      <c r="E438" t="s">
        <v>8</v>
      </c>
      <c r="F438" t="s">
        <v>9</v>
      </c>
    </row>
    <row r="439" spans="1:6" x14ac:dyDescent="0.25">
      <c r="A439">
        <v>438</v>
      </c>
      <c r="B439" t="s">
        <v>119</v>
      </c>
      <c r="C439" t="s">
        <v>427</v>
      </c>
      <c r="D439">
        <v>59300</v>
      </c>
      <c r="E439" t="s">
        <v>8</v>
      </c>
      <c r="F439" t="s">
        <v>9</v>
      </c>
    </row>
    <row r="440" spans="1:6" x14ac:dyDescent="0.25">
      <c r="A440">
        <v>439</v>
      </c>
      <c r="B440" t="s">
        <v>178</v>
      </c>
      <c r="C440" t="s">
        <v>428</v>
      </c>
      <c r="D440">
        <v>32800</v>
      </c>
      <c r="E440" t="s">
        <v>8</v>
      </c>
      <c r="F440" t="s">
        <v>9</v>
      </c>
    </row>
    <row r="441" spans="1:6" x14ac:dyDescent="0.25">
      <c r="A441">
        <v>440</v>
      </c>
      <c r="B441" t="s">
        <v>89</v>
      </c>
      <c r="C441" t="s">
        <v>429</v>
      </c>
      <c r="D441">
        <v>344200</v>
      </c>
      <c r="E441" t="s">
        <v>8</v>
      </c>
      <c r="F441" t="s">
        <v>9</v>
      </c>
    </row>
    <row r="442" spans="1:6" x14ac:dyDescent="0.25">
      <c r="A442">
        <v>441</v>
      </c>
      <c r="B442" t="s">
        <v>256</v>
      </c>
      <c r="C442" t="s">
        <v>430</v>
      </c>
      <c r="D442">
        <v>63700</v>
      </c>
      <c r="E442" t="s">
        <v>8</v>
      </c>
      <c r="F442" t="s">
        <v>9</v>
      </c>
    </row>
    <row r="443" spans="1:6" x14ac:dyDescent="0.25">
      <c r="A443">
        <v>442</v>
      </c>
      <c r="B443" t="s">
        <v>399</v>
      </c>
      <c r="C443" t="s">
        <v>431</v>
      </c>
      <c r="D443">
        <v>12400</v>
      </c>
      <c r="E443" t="s">
        <v>8</v>
      </c>
      <c r="F443" t="s">
        <v>9</v>
      </c>
    </row>
    <row r="444" spans="1:6" x14ac:dyDescent="0.25">
      <c r="A444">
        <v>443</v>
      </c>
      <c r="B444" t="s">
        <v>359</v>
      </c>
      <c r="C444" t="s">
        <v>432</v>
      </c>
      <c r="D444">
        <v>46900</v>
      </c>
      <c r="E444" t="s">
        <v>8</v>
      </c>
      <c r="F444" t="s">
        <v>9</v>
      </c>
    </row>
    <row r="445" spans="1:6" x14ac:dyDescent="0.25">
      <c r="A445">
        <v>444</v>
      </c>
      <c r="B445" t="s">
        <v>244</v>
      </c>
      <c r="C445" t="s">
        <v>433</v>
      </c>
      <c r="D445">
        <v>16100</v>
      </c>
      <c r="E445" t="s">
        <v>8</v>
      </c>
      <c r="F445" t="s">
        <v>9</v>
      </c>
    </row>
    <row r="446" spans="1:6" x14ac:dyDescent="0.25">
      <c r="A446">
        <v>445</v>
      </c>
      <c r="B446" t="s">
        <v>72</v>
      </c>
      <c r="C446" t="s">
        <v>422</v>
      </c>
      <c r="D446">
        <v>22300</v>
      </c>
      <c r="E446" t="s">
        <v>8</v>
      </c>
      <c r="F446" t="s">
        <v>9</v>
      </c>
    </row>
    <row r="447" spans="1:6" x14ac:dyDescent="0.25">
      <c r="A447">
        <v>446</v>
      </c>
      <c r="B447" t="s">
        <v>289</v>
      </c>
      <c r="C447" t="s">
        <v>423</v>
      </c>
      <c r="D447">
        <v>37400</v>
      </c>
      <c r="E447" t="s">
        <v>8</v>
      </c>
      <c r="F447" t="s">
        <v>9</v>
      </c>
    </row>
    <row r="448" spans="1:6" x14ac:dyDescent="0.25">
      <c r="A448">
        <v>447</v>
      </c>
      <c r="B448" t="s">
        <v>279</v>
      </c>
      <c r="C448" t="s">
        <v>424</v>
      </c>
      <c r="D448">
        <v>14100</v>
      </c>
      <c r="E448" t="s">
        <v>8</v>
      </c>
      <c r="F448" t="s">
        <v>9</v>
      </c>
    </row>
    <row r="449" spans="1:6" x14ac:dyDescent="0.25">
      <c r="A449">
        <v>448</v>
      </c>
      <c r="B449" t="s">
        <v>234</v>
      </c>
      <c r="C449" t="s">
        <v>425</v>
      </c>
      <c r="D449">
        <v>5000</v>
      </c>
      <c r="E449" t="s">
        <v>8</v>
      </c>
      <c r="F449" t="s">
        <v>9</v>
      </c>
    </row>
    <row r="450" spans="1:6" x14ac:dyDescent="0.25">
      <c r="A450">
        <v>449</v>
      </c>
      <c r="B450" t="s">
        <v>176</v>
      </c>
      <c r="C450" t="s">
        <v>426</v>
      </c>
      <c r="D450">
        <v>119300</v>
      </c>
      <c r="E450" t="s">
        <v>8</v>
      </c>
      <c r="F450" t="s">
        <v>9</v>
      </c>
    </row>
    <row r="451" spans="1:6" x14ac:dyDescent="0.25">
      <c r="A451">
        <v>450</v>
      </c>
      <c r="B451" t="s">
        <v>374</v>
      </c>
      <c r="C451" t="s">
        <v>427</v>
      </c>
      <c r="D451">
        <v>22900</v>
      </c>
      <c r="E451" t="s">
        <v>8</v>
      </c>
      <c r="F451" t="s">
        <v>9</v>
      </c>
    </row>
    <row r="452" spans="1:6" x14ac:dyDescent="0.25">
      <c r="A452">
        <v>451</v>
      </c>
      <c r="B452" t="s">
        <v>317</v>
      </c>
      <c r="C452" t="s">
        <v>428</v>
      </c>
      <c r="D452">
        <v>9000</v>
      </c>
      <c r="E452" t="s">
        <v>23</v>
      </c>
      <c r="F452" t="s">
        <v>9</v>
      </c>
    </row>
    <row r="453" spans="1:6" x14ac:dyDescent="0.25">
      <c r="A453">
        <v>452</v>
      </c>
      <c r="B453" t="s">
        <v>47</v>
      </c>
      <c r="C453" t="s">
        <v>429</v>
      </c>
      <c r="D453">
        <v>15100</v>
      </c>
      <c r="E453" t="s">
        <v>8</v>
      </c>
      <c r="F453" t="s">
        <v>9</v>
      </c>
    </row>
    <row r="454" spans="1:6" x14ac:dyDescent="0.25">
      <c r="A454">
        <v>453</v>
      </c>
      <c r="B454" t="s">
        <v>185</v>
      </c>
      <c r="C454" t="s">
        <v>430</v>
      </c>
      <c r="D454">
        <v>50000</v>
      </c>
      <c r="E454" t="s">
        <v>8</v>
      </c>
      <c r="F454" t="s">
        <v>9</v>
      </c>
    </row>
    <row r="455" spans="1:6" x14ac:dyDescent="0.25">
      <c r="A455">
        <v>454</v>
      </c>
      <c r="B455" t="s">
        <v>57</v>
      </c>
      <c r="C455" t="s">
        <v>431</v>
      </c>
      <c r="D455">
        <v>75300</v>
      </c>
      <c r="E455" t="s">
        <v>8</v>
      </c>
      <c r="F455" t="s">
        <v>9</v>
      </c>
    </row>
    <row r="456" spans="1:6" x14ac:dyDescent="0.25">
      <c r="A456">
        <v>455</v>
      </c>
      <c r="B456" t="s">
        <v>399</v>
      </c>
      <c r="C456" t="s">
        <v>432</v>
      </c>
      <c r="D456">
        <v>129800</v>
      </c>
      <c r="E456" t="s">
        <v>8</v>
      </c>
      <c r="F456" t="s">
        <v>9</v>
      </c>
    </row>
    <row r="457" spans="1:6" x14ac:dyDescent="0.25">
      <c r="A457">
        <v>456</v>
      </c>
      <c r="B457" t="s">
        <v>229</v>
      </c>
      <c r="C457" t="s">
        <v>433</v>
      </c>
      <c r="D457">
        <v>49800</v>
      </c>
      <c r="E457" t="s">
        <v>23</v>
      </c>
      <c r="F457" t="s">
        <v>9</v>
      </c>
    </row>
    <row r="458" spans="1:6" x14ac:dyDescent="0.25">
      <c r="A458">
        <v>457</v>
      </c>
      <c r="B458" t="s">
        <v>417</v>
      </c>
      <c r="C458" t="s">
        <v>422</v>
      </c>
      <c r="D458">
        <v>171400</v>
      </c>
      <c r="E458" t="s">
        <v>8</v>
      </c>
      <c r="F458" t="s">
        <v>9</v>
      </c>
    </row>
    <row r="459" spans="1:6" x14ac:dyDescent="0.25">
      <c r="A459">
        <v>458</v>
      </c>
      <c r="B459" t="s">
        <v>172</v>
      </c>
      <c r="C459" t="s">
        <v>423</v>
      </c>
      <c r="D459">
        <v>82900</v>
      </c>
      <c r="E459" t="s">
        <v>23</v>
      </c>
      <c r="F459" t="s">
        <v>9</v>
      </c>
    </row>
    <row r="460" spans="1:6" x14ac:dyDescent="0.25">
      <c r="A460">
        <v>459</v>
      </c>
      <c r="B460" t="s">
        <v>319</v>
      </c>
      <c r="C460" t="s">
        <v>424</v>
      </c>
      <c r="D460">
        <v>205800</v>
      </c>
      <c r="E460" t="s">
        <v>8</v>
      </c>
      <c r="F460" t="s">
        <v>9</v>
      </c>
    </row>
    <row r="461" spans="1:6" x14ac:dyDescent="0.25">
      <c r="A461">
        <v>460</v>
      </c>
      <c r="B461" t="s">
        <v>355</v>
      </c>
      <c r="C461" t="s">
        <v>425</v>
      </c>
      <c r="D461">
        <v>51000</v>
      </c>
      <c r="E461" t="s">
        <v>8</v>
      </c>
      <c r="F461" t="s">
        <v>9</v>
      </c>
    </row>
    <row r="462" spans="1:6" x14ac:dyDescent="0.25">
      <c r="A462">
        <v>461</v>
      </c>
      <c r="B462" t="s">
        <v>155</v>
      </c>
      <c r="C462" t="s">
        <v>426</v>
      </c>
      <c r="D462">
        <v>35300</v>
      </c>
      <c r="E462" t="s">
        <v>8</v>
      </c>
      <c r="F462" t="s">
        <v>9</v>
      </c>
    </row>
    <row r="463" spans="1:6" x14ac:dyDescent="0.25">
      <c r="A463">
        <v>462</v>
      </c>
      <c r="B463" t="s">
        <v>343</v>
      </c>
      <c r="C463" t="s">
        <v>427</v>
      </c>
      <c r="D463">
        <v>29900</v>
      </c>
      <c r="E463" t="s">
        <v>8</v>
      </c>
      <c r="F463" t="s">
        <v>9</v>
      </c>
    </row>
    <row r="464" spans="1:6" x14ac:dyDescent="0.25">
      <c r="A464">
        <v>463</v>
      </c>
      <c r="B464" t="s">
        <v>56</v>
      </c>
      <c r="C464" t="s">
        <v>428</v>
      </c>
      <c r="D464">
        <v>5000</v>
      </c>
      <c r="E464" t="s">
        <v>8</v>
      </c>
      <c r="F464" t="s">
        <v>9</v>
      </c>
    </row>
    <row r="465" spans="1:6" x14ac:dyDescent="0.25">
      <c r="A465">
        <v>464</v>
      </c>
      <c r="B465" t="s">
        <v>289</v>
      </c>
      <c r="C465" t="s">
        <v>429</v>
      </c>
      <c r="D465">
        <v>137700</v>
      </c>
      <c r="E465" t="s">
        <v>8</v>
      </c>
      <c r="F465" t="s">
        <v>9</v>
      </c>
    </row>
    <row r="466" spans="1:6" x14ac:dyDescent="0.25">
      <c r="A466">
        <v>465</v>
      </c>
      <c r="B466" t="s">
        <v>404</v>
      </c>
      <c r="C466" t="s">
        <v>430</v>
      </c>
      <c r="D466">
        <v>37100</v>
      </c>
      <c r="E466" t="s">
        <v>8</v>
      </c>
      <c r="F466" t="s">
        <v>9</v>
      </c>
    </row>
    <row r="467" spans="1:6" x14ac:dyDescent="0.25">
      <c r="A467">
        <v>466</v>
      </c>
      <c r="B467" t="s">
        <v>129</v>
      </c>
      <c r="C467" t="s">
        <v>431</v>
      </c>
      <c r="D467">
        <v>54400</v>
      </c>
      <c r="E467" t="s">
        <v>8</v>
      </c>
      <c r="F467" t="s">
        <v>9</v>
      </c>
    </row>
    <row r="468" spans="1:6" x14ac:dyDescent="0.25">
      <c r="A468">
        <v>467</v>
      </c>
      <c r="B468" t="s">
        <v>181</v>
      </c>
      <c r="C468" t="s">
        <v>432</v>
      </c>
      <c r="D468">
        <v>67600</v>
      </c>
      <c r="E468" t="s">
        <v>8</v>
      </c>
      <c r="F468" t="s">
        <v>9</v>
      </c>
    </row>
    <row r="469" spans="1:6" x14ac:dyDescent="0.25">
      <c r="A469">
        <v>468</v>
      </c>
      <c r="B469" t="s">
        <v>260</v>
      </c>
      <c r="C469" t="s">
        <v>433</v>
      </c>
      <c r="D469">
        <v>207400</v>
      </c>
      <c r="E469" t="s">
        <v>8</v>
      </c>
      <c r="F469" t="s">
        <v>9</v>
      </c>
    </row>
    <row r="470" spans="1:6" x14ac:dyDescent="0.25">
      <c r="A470">
        <v>469</v>
      </c>
      <c r="B470" t="s">
        <v>419</v>
      </c>
      <c r="C470" t="s">
        <v>422</v>
      </c>
      <c r="D470">
        <v>25300</v>
      </c>
      <c r="E470" t="s">
        <v>8</v>
      </c>
      <c r="F470" t="s">
        <v>9</v>
      </c>
    </row>
    <row r="471" spans="1:6" x14ac:dyDescent="0.25">
      <c r="A471">
        <v>470</v>
      </c>
      <c r="B471" t="s">
        <v>107</v>
      </c>
      <c r="C471" t="s">
        <v>423</v>
      </c>
      <c r="D471">
        <v>33700</v>
      </c>
      <c r="E471" t="s">
        <v>8</v>
      </c>
      <c r="F471" t="s">
        <v>9</v>
      </c>
    </row>
    <row r="472" spans="1:6" x14ac:dyDescent="0.25">
      <c r="A472">
        <v>471</v>
      </c>
      <c r="B472" t="s">
        <v>12</v>
      </c>
      <c r="C472" t="s">
        <v>424</v>
      </c>
      <c r="D472">
        <v>19000</v>
      </c>
      <c r="E472" t="s">
        <v>8</v>
      </c>
      <c r="F472" t="s">
        <v>9</v>
      </c>
    </row>
    <row r="473" spans="1:6" x14ac:dyDescent="0.25">
      <c r="A473">
        <v>472</v>
      </c>
      <c r="B473" t="s">
        <v>344</v>
      </c>
      <c r="C473" t="s">
        <v>425</v>
      </c>
      <c r="D473">
        <v>32200</v>
      </c>
      <c r="E473" t="s">
        <v>8</v>
      </c>
      <c r="F473" t="s">
        <v>9</v>
      </c>
    </row>
    <row r="474" spans="1:6" x14ac:dyDescent="0.25">
      <c r="A474">
        <v>473</v>
      </c>
      <c r="B474" t="s">
        <v>149</v>
      </c>
      <c r="C474" t="s">
        <v>426</v>
      </c>
      <c r="D474">
        <v>164100</v>
      </c>
      <c r="E474" t="s">
        <v>8</v>
      </c>
      <c r="F474" t="s">
        <v>9</v>
      </c>
    </row>
    <row r="475" spans="1:6" x14ac:dyDescent="0.25">
      <c r="A475">
        <v>474</v>
      </c>
      <c r="B475" t="s">
        <v>82</v>
      </c>
      <c r="C475" t="s">
        <v>427</v>
      </c>
      <c r="D475">
        <v>33300</v>
      </c>
      <c r="E475" t="s">
        <v>8</v>
      </c>
      <c r="F475" t="s">
        <v>9</v>
      </c>
    </row>
    <row r="476" spans="1:6" x14ac:dyDescent="0.25">
      <c r="A476">
        <v>475</v>
      </c>
      <c r="B476" t="s">
        <v>336</v>
      </c>
      <c r="C476" t="s">
        <v>428</v>
      </c>
      <c r="D476">
        <v>50600</v>
      </c>
      <c r="E476" t="s">
        <v>8</v>
      </c>
      <c r="F476" t="s">
        <v>9</v>
      </c>
    </row>
    <row r="477" spans="1:6" x14ac:dyDescent="0.25">
      <c r="A477">
        <v>476</v>
      </c>
      <c r="B477" t="s">
        <v>276</v>
      </c>
      <c r="C477" t="s">
        <v>429</v>
      </c>
      <c r="D477">
        <v>29100</v>
      </c>
      <c r="E477" t="s">
        <v>8</v>
      </c>
      <c r="F477" t="s">
        <v>9</v>
      </c>
    </row>
    <row r="478" spans="1:6" x14ac:dyDescent="0.25">
      <c r="A478">
        <v>477</v>
      </c>
      <c r="B478" t="s">
        <v>239</v>
      </c>
      <c r="C478" t="s">
        <v>430</v>
      </c>
      <c r="D478">
        <v>50300</v>
      </c>
      <c r="E478" t="s">
        <v>8</v>
      </c>
      <c r="F478" t="s">
        <v>9</v>
      </c>
    </row>
    <row r="479" spans="1:6" x14ac:dyDescent="0.25">
      <c r="A479">
        <v>478</v>
      </c>
      <c r="B479" t="s">
        <v>192</v>
      </c>
      <c r="C479" t="s">
        <v>431</v>
      </c>
      <c r="D479">
        <v>19100</v>
      </c>
      <c r="E479" t="s">
        <v>8</v>
      </c>
      <c r="F479" t="s">
        <v>9</v>
      </c>
    </row>
    <row r="480" spans="1:6" x14ac:dyDescent="0.25">
      <c r="A480">
        <v>479</v>
      </c>
      <c r="B480" t="s">
        <v>345</v>
      </c>
      <c r="C480" t="s">
        <v>432</v>
      </c>
      <c r="D480">
        <v>272000</v>
      </c>
      <c r="E480" t="s">
        <v>8</v>
      </c>
      <c r="F480" t="s">
        <v>9</v>
      </c>
    </row>
    <row r="481" spans="1:6" x14ac:dyDescent="0.25">
      <c r="A481">
        <v>480</v>
      </c>
      <c r="B481" t="s">
        <v>130</v>
      </c>
      <c r="C481" t="s">
        <v>433</v>
      </c>
      <c r="D481">
        <v>16600</v>
      </c>
      <c r="E481" t="s">
        <v>8</v>
      </c>
      <c r="F481" t="s">
        <v>9</v>
      </c>
    </row>
    <row r="482" spans="1:6" x14ac:dyDescent="0.25">
      <c r="A482">
        <v>481</v>
      </c>
      <c r="B482" t="s">
        <v>278</v>
      </c>
      <c r="C482" t="s">
        <v>422</v>
      </c>
      <c r="D482">
        <v>20400</v>
      </c>
      <c r="E482" t="s">
        <v>8</v>
      </c>
      <c r="F482" t="s">
        <v>9</v>
      </c>
    </row>
    <row r="483" spans="1:6" x14ac:dyDescent="0.25">
      <c r="A483">
        <v>482</v>
      </c>
      <c r="B483" t="s">
        <v>403</v>
      </c>
      <c r="C483" t="s">
        <v>423</v>
      </c>
      <c r="D483">
        <v>13000</v>
      </c>
      <c r="E483" t="s">
        <v>8</v>
      </c>
      <c r="F483" t="s">
        <v>9</v>
      </c>
    </row>
    <row r="484" spans="1:6" x14ac:dyDescent="0.25">
      <c r="A484">
        <v>483</v>
      </c>
      <c r="B484" t="s">
        <v>183</v>
      </c>
      <c r="C484" t="s">
        <v>424</v>
      </c>
      <c r="D484">
        <v>17600</v>
      </c>
      <c r="E484" t="s">
        <v>8</v>
      </c>
      <c r="F484" t="s">
        <v>9</v>
      </c>
    </row>
    <row r="485" spans="1:6" x14ac:dyDescent="0.25">
      <c r="A485">
        <v>484</v>
      </c>
      <c r="B485" t="s">
        <v>260</v>
      </c>
      <c r="C485" t="s">
        <v>425</v>
      </c>
      <c r="D485">
        <v>35300</v>
      </c>
      <c r="E485" t="s">
        <v>8</v>
      </c>
      <c r="F485" t="s">
        <v>9</v>
      </c>
    </row>
    <row r="486" spans="1:6" x14ac:dyDescent="0.25">
      <c r="A486">
        <v>485</v>
      </c>
      <c r="B486" t="s">
        <v>236</v>
      </c>
      <c r="C486" t="s">
        <v>426</v>
      </c>
      <c r="D486">
        <v>31700</v>
      </c>
      <c r="E486" t="s">
        <v>8</v>
      </c>
      <c r="F486" t="s">
        <v>9</v>
      </c>
    </row>
    <row r="487" spans="1:6" x14ac:dyDescent="0.25">
      <c r="A487">
        <v>486</v>
      </c>
      <c r="B487" t="s">
        <v>124</v>
      </c>
      <c r="C487" t="s">
        <v>427</v>
      </c>
      <c r="D487">
        <v>63000</v>
      </c>
      <c r="E487" t="s">
        <v>8</v>
      </c>
      <c r="F487" t="s">
        <v>9</v>
      </c>
    </row>
    <row r="488" spans="1:6" x14ac:dyDescent="0.25">
      <c r="A488">
        <v>487</v>
      </c>
      <c r="B488" t="s">
        <v>87</v>
      </c>
      <c r="C488" t="s">
        <v>428</v>
      </c>
      <c r="D488">
        <v>6700</v>
      </c>
      <c r="E488" t="s">
        <v>8</v>
      </c>
      <c r="F488" t="s">
        <v>9</v>
      </c>
    </row>
    <row r="489" spans="1:6" x14ac:dyDescent="0.25">
      <c r="A489">
        <v>488</v>
      </c>
      <c r="B489" t="s">
        <v>174</v>
      </c>
      <c r="C489" t="s">
        <v>429</v>
      </c>
      <c r="D489">
        <v>44900</v>
      </c>
      <c r="E489" t="s">
        <v>8</v>
      </c>
      <c r="F489" t="s">
        <v>9</v>
      </c>
    </row>
    <row r="490" spans="1:6" x14ac:dyDescent="0.25">
      <c r="A490">
        <v>489</v>
      </c>
      <c r="B490" t="s">
        <v>363</v>
      </c>
      <c r="C490" t="s">
        <v>430</v>
      </c>
      <c r="D490">
        <v>20100</v>
      </c>
      <c r="E490" t="s">
        <v>8</v>
      </c>
      <c r="F490" t="s">
        <v>9</v>
      </c>
    </row>
    <row r="491" spans="1:6" x14ac:dyDescent="0.25">
      <c r="A491">
        <v>490</v>
      </c>
      <c r="B491" t="s">
        <v>168</v>
      </c>
      <c r="C491" t="s">
        <v>431</v>
      </c>
      <c r="D491">
        <v>15500</v>
      </c>
      <c r="E491" t="s">
        <v>8</v>
      </c>
      <c r="F491" t="s">
        <v>9</v>
      </c>
    </row>
    <row r="492" spans="1:6" x14ac:dyDescent="0.25">
      <c r="A492">
        <v>491</v>
      </c>
      <c r="B492" t="s">
        <v>56</v>
      </c>
      <c r="C492" t="s">
        <v>432</v>
      </c>
      <c r="D492">
        <v>23900</v>
      </c>
      <c r="E492" t="s">
        <v>8</v>
      </c>
      <c r="F492" t="s">
        <v>9</v>
      </c>
    </row>
    <row r="493" spans="1:6" x14ac:dyDescent="0.25">
      <c r="A493">
        <v>492</v>
      </c>
      <c r="B493" t="s">
        <v>105</v>
      </c>
      <c r="C493" t="s">
        <v>433</v>
      </c>
      <c r="D493">
        <v>52400</v>
      </c>
      <c r="E493" t="s">
        <v>8</v>
      </c>
      <c r="F493" t="s">
        <v>9</v>
      </c>
    </row>
    <row r="494" spans="1:6" x14ac:dyDescent="0.25">
      <c r="A494">
        <v>493</v>
      </c>
      <c r="B494" t="s">
        <v>233</v>
      </c>
      <c r="C494" t="s">
        <v>422</v>
      </c>
      <c r="D494">
        <v>195800</v>
      </c>
      <c r="E494" t="s">
        <v>8</v>
      </c>
      <c r="F494" t="s">
        <v>9</v>
      </c>
    </row>
    <row r="495" spans="1:6" x14ac:dyDescent="0.25">
      <c r="A495">
        <v>494</v>
      </c>
      <c r="B495" t="s">
        <v>18</v>
      </c>
      <c r="C495" t="s">
        <v>423</v>
      </c>
      <c r="D495">
        <v>6400</v>
      </c>
      <c r="E495" t="s">
        <v>23</v>
      </c>
      <c r="F495" t="s">
        <v>9</v>
      </c>
    </row>
    <row r="496" spans="1:6" x14ac:dyDescent="0.25">
      <c r="A496">
        <v>495</v>
      </c>
      <c r="B496" t="s">
        <v>253</v>
      </c>
      <c r="C496" t="s">
        <v>424</v>
      </c>
      <c r="D496">
        <v>55200</v>
      </c>
      <c r="E496" t="s">
        <v>8</v>
      </c>
      <c r="F496" t="s">
        <v>9</v>
      </c>
    </row>
    <row r="497" spans="1:6" x14ac:dyDescent="0.25">
      <c r="A497">
        <v>496</v>
      </c>
      <c r="B497" t="s">
        <v>355</v>
      </c>
      <c r="C497" t="s">
        <v>425</v>
      </c>
      <c r="D497">
        <v>11700</v>
      </c>
      <c r="E497" t="s">
        <v>8</v>
      </c>
      <c r="F497" t="s">
        <v>9</v>
      </c>
    </row>
    <row r="498" spans="1:6" x14ac:dyDescent="0.25">
      <c r="A498">
        <v>497</v>
      </c>
      <c r="B498" t="s">
        <v>126</v>
      </c>
      <c r="C498" t="s">
        <v>426</v>
      </c>
      <c r="D498">
        <v>38700</v>
      </c>
      <c r="E498" t="s">
        <v>8</v>
      </c>
      <c r="F498" t="s">
        <v>9</v>
      </c>
    </row>
    <row r="499" spans="1:6" x14ac:dyDescent="0.25">
      <c r="A499">
        <v>498</v>
      </c>
      <c r="B499" t="s">
        <v>84</v>
      </c>
      <c r="C499" t="s">
        <v>427</v>
      </c>
      <c r="D499">
        <v>65300</v>
      </c>
      <c r="E499" t="s">
        <v>8</v>
      </c>
      <c r="F499" t="s">
        <v>9</v>
      </c>
    </row>
    <row r="500" spans="1:6" x14ac:dyDescent="0.25">
      <c r="A500">
        <v>499</v>
      </c>
      <c r="B500" t="s">
        <v>10</v>
      </c>
      <c r="C500" t="s">
        <v>428</v>
      </c>
      <c r="D500">
        <v>141500</v>
      </c>
      <c r="E500" t="s">
        <v>8</v>
      </c>
      <c r="F500" t="s">
        <v>9</v>
      </c>
    </row>
    <row r="501" spans="1:6" x14ac:dyDescent="0.25">
      <c r="A501">
        <v>500</v>
      </c>
      <c r="B501" t="s">
        <v>50</v>
      </c>
      <c r="C501" t="s">
        <v>429</v>
      </c>
      <c r="D501">
        <v>65000</v>
      </c>
      <c r="E501" t="s">
        <v>8</v>
      </c>
      <c r="F501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267</v>
      </c>
      <c r="C2" t="s">
        <v>435</v>
      </c>
      <c r="D2">
        <v>152800</v>
      </c>
      <c r="E2" t="s">
        <v>8</v>
      </c>
      <c r="F2" t="s">
        <v>9</v>
      </c>
    </row>
    <row r="3" spans="1:6" x14ac:dyDescent="0.25">
      <c r="A3">
        <v>2</v>
      </c>
      <c r="B3" t="s">
        <v>24</v>
      </c>
      <c r="C3" t="s">
        <v>436</v>
      </c>
      <c r="D3">
        <v>8800</v>
      </c>
      <c r="E3" t="s">
        <v>8</v>
      </c>
      <c r="F3" t="s">
        <v>9</v>
      </c>
    </row>
    <row r="4" spans="1:6" x14ac:dyDescent="0.25">
      <c r="A4">
        <v>3</v>
      </c>
      <c r="B4" t="s">
        <v>130</v>
      </c>
      <c r="C4" t="s">
        <v>437</v>
      </c>
      <c r="D4">
        <v>117200</v>
      </c>
      <c r="E4" t="s">
        <v>8</v>
      </c>
      <c r="F4" t="s">
        <v>9</v>
      </c>
    </row>
    <row r="5" spans="1:6" x14ac:dyDescent="0.25">
      <c r="A5">
        <v>4</v>
      </c>
      <c r="B5" t="s">
        <v>50</v>
      </c>
      <c r="C5" t="s">
        <v>438</v>
      </c>
      <c r="D5">
        <v>269600</v>
      </c>
      <c r="E5" t="s">
        <v>8</v>
      </c>
      <c r="F5" t="s">
        <v>9</v>
      </c>
    </row>
    <row r="6" spans="1:6" x14ac:dyDescent="0.25">
      <c r="A6">
        <v>5</v>
      </c>
      <c r="B6" t="s">
        <v>261</v>
      </c>
      <c r="C6" t="s">
        <v>439</v>
      </c>
      <c r="D6">
        <v>95300</v>
      </c>
      <c r="E6" t="s">
        <v>8</v>
      </c>
      <c r="F6" t="s">
        <v>9</v>
      </c>
    </row>
    <row r="7" spans="1:6" x14ac:dyDescent="0.25">
      <c r="A7">
        <v>6</v>
      </c>
      <c r="B7" t="s">
        <v>70</v>
      </c>
      <c r="C7" t="s">
        <v>440</v>
      </c>
      <c r="D7">
        <v>198500</v>
      </c>
      <c r="E7" t="s">
        <v>38</v>
      </c>
      <c r="F7" t="s">
        <v>20</v>
      </c>
    </row>
    <row r="8" spans="1:6" x14ac:dyDescent="0.25">
      <c r="A8">
        <v>7</v>
      </c>
      <c r="B8" t="s">
        <v>78</v>
      </c>
      <c r="C8" t="s">
        <v>441</v>
      </c>
      <c r="D8">
        <v>35800</v>
      </c>
      <c r="E8" t="s">
        <v>8</v>
      </c>
      <c r="F8" t="s">
        <v>9</v>
      </c>
    </row>
    <row r="9" spans="1:6" x14ac:dyDescent="0.25">
      <c r="A9">
        <v>8</v>
      </c>
      <c r="B9" t="s">
        <v>194</v>
      </c>
      <c r="C9" t="s">
        <v>442</v>
      </c>
      <c r="D9">
        <v>10500</v>
      </c>
      <c r="E9" t="s">
        <v>8</v>
      </c>
      <c r="F9" t="s">
        <v>9</v>
      </c>
    </row>
    <row r="10" spans="1:6" x14ac:dyDescent="0.25">
      <c r="A10">
        <v>9</v>
      </c>
      <c r="B10" t="s">
        <v>179</v>
      </c>
      <c r="C10" t="s">
        <v>443</v>
      </c>
      <c r="D10">
        <v>38100</v>
      </c>
      <c r="E10" t="s">
        <v>8</v>
      </c>
      <c r="F10" t="s">
        <v>9</v>
      </c>
    </row>
    <row r="11" spans="1:6" x14ac:dyDescent="0.25">
      <c r="A11">
        <v>10</v>
      </c>
      <c r="B11" t="s">
        <v>83</v>
      </c>
      <c r="C11" t="s">
        <v>444</v>
      </c>
      <c r="D11">
        <v>192300</v>
      </c>
      <c r="E11" t="s">
        <v>38</v>
      </c>
      <c r="F11" t="s">
        <v>9</v>
      </c>
    </row>
    <row r="12" spans="1:6" x14ac:dyDescent="0.25">
      <c r="A12">
        <v>11</v>
      </c>
      <c r="B12" t="s">
        <v>41</v>
      </c>
      <c r="C12" t="s">
        <v>445</v>
      </c>
      <c r="D12">
        <v>187000</v>
      </c>
      <c r="E12" t="s">
        <v>8</v>
      </c>
      <c r="F12" t="s">
        <v>9</v>
      </c>
    </row>
    <row r="13" spans="1:6" x14ac:dyDescent="0.25">
      <c r="A13">
        <v>12</v>
      </c>
      <c r="B13" t="s">
        <v>125</v>
      </c>
      <c r="C13" t="s">
        <v>446</v>
      </c>
      <c r="D13">
        <v>39600</v>
      </c>
      <c r="E13" t="s">
        <v>8</v>
      </c>
      <c r="F13" t="s">
        <v>9</v>
      </c>
    </row>
    <row r="14" spans="1:6" x14ac:dyDescent="0.25">
      <c r="A14">
        <v>13</v>
      </c>
      <c r="B14" t="s">
        <v>116</v>
      </c>
      <c r="C14" t="s">
        <v>435</v>
      </c>
      <c r="D14">
        <v>13000</v>
      </c>
      <c r="E14" t="s">
        <v>8</v>
      </c>
      <c r="F14" t="s">
        <v>9</v>
      </c>
    </row>
    <row r="15" spans="1:6" x14ac:dyDescent="0.25">
      <c r="A15">
        <v>14</v>
      </c>
      <c r="B15" t="s">
        <v>50</v>
      </c>
      <c r="C15" t="s">
        <v>436</v>
      </c>
      <c r="D15">
        <v>155700</v>
      </c>
      <c r="E15" t="s">
        <v>8</v>
      </c>
      <c r="F15" t="s">
        <v>9</v>
      </c>
    </row>
    <row r="16" spans="1:6" x14ac:dyDescent="0.25">
      <c r="A16">
        <v>15</v>
      </c>
      <c r="B16" t="s">
        <v>84</v>
      </c>
      <c r="C16" t="s">
        <v>437</v>
      </c>
      <c r="D16">
        <v>27900</v>
      </c>
      <c r="E16" t="s">
        <v>8</v>
      </c>
      <c r="F16" t="s">
        <v>9</v>
      </c>
    </row>
    <row r="17" spans="1:6" x14ac:dyDescent="0.25">
      <c r="A17">
        <v>16</v>
      </c>
      <c r="B17" t="s">
        <v>290</v>
      </c>
      <c r="C17" t="s">
        <v>438</v>
      </c>
      <c r="D17">
        <v>64200</v>
      </c>
      <c r="E17" t="s">
        <v>8</v>
      </c>
      <c r="F17" t="s">
        <v>9</v>
      </c>
    </row>
    <row r="18" spans="1:6" x14ac:dyDescent="0.25">
      <c r="A18">
        <v>17</v>
      </c>
      <c r="B18" t="s">
        <v>223</v>
      </c>
      <c r="C18" t="s">
        <v>439</v>
      </c>
      <c r="D18">
        <v>37500</v>
      </c>
      <c r="E18" t="s">
        <v>38</v>
      </c>
      <c r="F18" t="s">
        <v>9</v>
      </c>
    </row>
    <row r="19" spans="1:6" x14ac:dyDescent="0.25">
      <c r="A19">
        <v>18</v>
      </c>
      <c r="B19" t="s">
        <v>225</v>
      </c>
      <c r="C19" t="s">
        <v>440</v>
      </c>
      <c r="D19">
        <v>58400</v>
      </c>
      <c r="E19" t="s">
        <v>8</v>
      </c>
      <c r="F19" t="s">
        <v>9</v>
      </c>
    </row>
    <row r="20" spans="1:6" x14ac:dyDescent="0.25">
      <c r="A20">
        <v>19</v>
      </c>
      <c r="B20" t="s">
        <v>93</v>
      </c>
      <c r="C20" t="s">
        <v>441</v>
      </c>
      <c r="D20">
        <v>97300</v>
      </c>
      <c r="E20" t="s">
        <v>8</v>
      </c>
      <c r="F20" t="s">
        <v>20</v>
      </c>
    </row>
    <row r="21" spans="1:6" x14ac:dyDescent="0.25">
      <c r="A21">
        <v>20</v>
      </c>
      <c r="B21" t="s">
        <v>92</v>
      </c>
      <c r="C21" t="s">
        <v>442</v>
      </c>
      <c r="D21">
        <v>32300</v>
      </c>
      <c r="E21" t="s">
        <v>23</v>
      </c>
      <c r="F21" t="s">
        <v>9</v>
      </c>
    </row>
    <row r="22" spans="1:6" x14ac:dyDescent="0.25">
      <c r="A22">
        <v>21</v>
      </c>
      <c r="B22" t="s">
        <v>203</v>
      </c>
      <c r="C22" t="s">
        <v>443</v>
      </c>
      <c r="D22">
        <v>47300</v>
      </c>
      <c r="E22" t="s">
        <v>8</v>
      </c>
      <c r="F22" t="s">
        <v>20</v>
      </c>
    </row>
    <row r="23" spans="1:6" x14ac:dyDescent="0.25">
      <c r="A23">
        <v>22</v>
      </c>
      <c r="B23" t="s">
        <v>224</v>
      </c>
      <c r="C23" t="s">
        <v>444</v>
      </c>
      <c r="D23">
        <v>36900</v>
      </c>
      <c r="E23" t="s">
        <v>8</v>
      </c>
      <c r="F23" t="s">
        <v>9</v>
      </c>
    </row>
    <row r="24" spans="1:6" x14ac:dyDescent="0.25">
      <c r="A24">
        <v>23</v>
      </c>
      <c r="B24" t="s">
        <v>398</v>
      </c>
      <c r="C24" t="s">
        <v>445</v>
      </c>
      <c r="D24">
        <v>178300</v>
      </c>
      <c r="E24" t="s">
        <v>8</v>
      </c>
      <c r="F24" t="s">
        <v>9</v>
      </c>
    </row>
    <row r="25" spans="1:6" x14ac:dyDescent="0.25">
      <c r="A25">
        <v>24</v>
      </c>
      <c r="B25" t="s">
        <v>216</v>
      </c>
      <c r="C25" t="s">
        <v>446</v>
      </c>
      <c r="D25">
        <v>7000</v>
      </c>
      <c r="E25" t="s">
        <v>8</v>
      </c>
      <c r="F25" t="s">
        <v>9</v>
      </c>
    </row>
    <row r="26" spans="1:6" x14ac:dyDescent="0.25">
      <c r="A26">
        <v>25</v>
      </c>
      <c r="B26" t="s">
        <v>370</v>
      </c>
      <c r="C26" t="s">
        <v>435</v>
      </c>
      <c r="D26">
        <v>53400</v>
      </c>
      <c r="E26" t="s">
        <v>8</v>
      </c>
      <c r="F26" t="s">
        <v>9</v>
      </c>
    </row>
    <row r="27" spans="1:6" x14ac:dyDescent="0.25">
      <c r="A27">
        <v>26</v>
      </c>
      <c r="B27" t="s">
        <v>199</v>
      </c>
      <c r="C27" t="s">
        <v>436</v>
      </c>
      <c r="D27">
        <v>50200</v>
      </c>
      <c r="E27" t="s">
        <v>8</v>
      </c>
      <c r="F27" t="s">
        <v>9</v>
      </c>
    </row>
    <row r="28" spans="1:6" x14ac:dyDescent="0.25">
      <c r="A28">
        <v>27</v>
      </c>
      <c r="B28" t="s">
        <v>354</v>
      </c>
      <c r="C28" t="s">
        <v>437</v>
      </c>
      <c r="D28">
        <v>43500</v>
      </c>
      <c r="E28" t="s">
        <v>8</v>
      </c>
      <c r="F28" t="s">
        <v>9</v>
      </c>
    </row>
    <row r="29" spans="1:6" x14ac:dyDescent="0.25">
      <c r="A29">
        <v>28</v>
      </c>
      <c r="B29" t="s">
        <v>107</v>
      </c>
      <c r="C29" t="s">
        <v>438</v>
      </c>
      <c r="D29">
        <v>89800</v>
      </c>
      <c r="E29" t="s">
        <v>8</v>
      </c>
      <c r="F29" t="s">
        <v>9</v>
      </c>
    </row>
    <row r="30" spans="1:6" x14ac:dyDescent="0.25">
      <c r="A30">
        <v>29</v>
      </c>
      <c r="B30" t="s">
        <v>220</v>
      </c>
      <c r="C30" t="s">
        <v>439</v>
      </c>
      <c r="D30">
        <v>29100</v>
      </c>
      <c r="E30" t="s">
        <v>38</v>
      </c>
      <c r="F30" t="s">
        <v>20</v>
      </c>
    </row>
    <row r="31" spans="1:6" x14ac:dyDescent="0.25">
      <c r="A31">
        <v>30</v>
      </c>
      <c r="B31" t="s">
        <v>40</v>
      </c>
      <c r="C31" t="s">
        <v>440</v>
      </c>
      <c r="D31">
        <v>33800</v>
      </c>
      <c r="E31" t="s">
        <v>23</v>
      </c>
      <c r="F31" t="s">
        <v>9</v>
      </c>
    </row>
    <row r="32" spans="1:6" x14ac:dyDescent="0.25">
      <c r="A32">
        <v>31</v>
      </c>
      <c r="B32" t="s">
        <v>196</v>
      </c>
      <c r="C32" t="s">
        <v>441</v>
      </c>
      <c r="D32">
        <v>27400</v>
      </c>
      <c r="E32" t="s">
        <v>8</v>
      </c>
      <c r="F32" t="s">
        <v>9</v>
      </c>
    </row>
    <row r="33" spans="1:6" x14ac:dyDescent="0.25">
      <c r="A33">
        <v>32</v>
      </c>
      <c r="B33" t="s">
        <v>45</v>
      </c>
      <c r="C33" t="s">
        <v>442</v>
      </c>
      <c r="D33">
        <v>23400</v>
      </c>
      <c r="E33" t="s">
        <v>38</v>
      </c>
      <c r="F33" t="s">
        <v>20</v>
      </c>
    </row>
    <row r="34" spans="1:6" x14ac:dyDescent="0.25">
      <c r="A34">
        <v>33</v>
      </c>
      <c r="B34" t="s">
        <v>353</v>
      </c>
      <c r="C34" t="s">
        <v>443</v>
      </c>
      <c r="D34">
        <v>37900</v>
      </c>
      <c r="E34" t="s">
        <v>8</v>
      </c>
      <c r="F34" t="s">
        <v>9</v>
      </c>
    </row>
    <row r="35" spans="1:6" x14ac:dyDescent="0.25">
      <c r="A35">
        <v>34</v>
      </c>
      <c r="B35" t="s">
        <v>129</v>
      </c>
      <c r="C35" t="s">
        <v>444</v>
      </c>
      <c r="D35">
        <v>45600</v>
      </c>
      <c r="E35" t="s">
        <v>8</v>
      </c>
      <c r="F35" t="s">
        <v>9</v>
      </c>
    </row>
    <row r="36" spans="1:6" x14ac:dyDescent="0.25">
      <c r="A36">
        <v>35</v>
      </c>
      <c r="B36" t="s">
        <v>369</v>
      </c>
      <c r="C36" t="s">
        <v>445</v>
      </c>
      <c r="D36">
        <v>116400</v>
      </c>
      <c r="E36" t="s">
        <v>8</v>
      </c>
      <c r="F36" t="s">
        <v>9</v>
      </c>
    </row>
    <row r="37" spans="1:6" x14ac:dyDescent="0.25">
      <c r="A37">
        <v>36</v>
      </c>
      <c r="B37" t="s">
        <v>115</v>
      </c>
      <c r="C37" t="s">
        <v>446</v>
      </c>
      <c r="D37">
        <v>23800</v>
      </c>
      <c r="E37" t="s">
        <v>8</v>
      </c>
      <c r="F37" t="s">
        <v>9</v>
      </c>
    </row>
    <row r="38" spans="1:6" x14ac:dyDescent="0.25">
      <c r="A38">
        <v>37</v>
      </c>
      <c r="B38" t="s">
        <v>89</v>
      </c>
      <c r="C38" t="s">
        <v>435</v>
      </c>
      <c r="D38">
        <v>43300</v>
      </c>
      <c r="E38" t="s">
        <v>38</v>
      </c>
      <c r="F38" t="s">
        <v>20</v>
      </c>
    </row>
    <row r="39" spans="1:6" x14ac:dyDescent="0.25">
      <c r="A39">
        <v>38</v>
      </c>
      <c r="B39" t="s">
        <v>258</v>
      </c>
      <c r="C39" t="s">
        <v>436</v>
      </c>
      <c r="D39">
        <v>54200</v>
      </c>
      <c r="E39" t="s">
        <v>38</v>
      </c>
      <c r="F39" t="s">
        <v>20</v>
      </c>
    </row>
    <row r="40" spans="1:6" x14ac:dyDescent="0.25">
      <c r="A40">
        <v>39</v>
      </c>
      <c r="B40" t="s">
        <v>418</v>
      </c>
      <c r="C40" t="s">
        <v>437</v>
      </c>
      <c r="D40">
        <v>22300</v>
      </c>
      <c r="E40" t="s">
        <v>38</v>
      </c>
      <c r="F40" t="s">
        <v>9</v>
      </c>
    </row>
    <row r="41" spans="1:6" x14ac:dyDescent="0.25">
      <c r="A41">
        <v>40</v>
      </c>
      <c r="B41" t="s">
        <v>319</v>
      </c>
      <c r="C41" t="s">
        <v>438</v>
      </c>
      <c r="D41">
        <v>50100</v>
      </c>
      <c r="E41" t="s">
        <v>8</v>
      </c>
      <c r="F41" t="s">
        <v>9</v>
      </c>
    </row>
    <row r="42" spans="1:6" x14ac:dyDescent="0.25">
      <c r="A42">
        <v>41</v>
      </c>
      <c r="B42" t="s">
        <v>180</v>
      </c>
      <c r="C42" t="s">
        <v>439</v>
      </c>
      <c r="D42">
        <v>50900</v>
      </c>
      <c r="E42" t="s">
        <v>23</v>
      </c>
      <c r="F42" t="s">
        <v>9</v>
      </c>
    </row>
    <row r="43" spans="1:6" x14ac:dyDescent="0.25">
      <c r="A43">
        <v>42</v>
      </c>
      <c r="B43" t="s">
        <v>337</v>
      </c>
      <c r="C43" t="s">
        <v>440</v>
      </c>
      <c r="D43">
        <v>66200</v>
      </c>
      <c r="E43" t="s">
        <v>38</v>
      </c>
      <c r="F43" t="s">
        <v>20</v>
      </c>
    </row>
    <row r="44" spans="1:6" x14ac:dyDescent="0.25">
      <c r="A44">
        <v>43</v>
      </c>
      <c r="B44" t="s">
        <v>371</v>
      </c>
      <c r="C44" t="s">
        <v>441</v>
      </c>
      <c r="D44">
        <v>56600</v>
      </c>
      <c r="E44" t="s">
        <v>8</v>
      </c>
      <c r="F44" t="s">
        <v>9</v>
      </c>
    </row>
    <row r="45" spans="1:6" x14ac:dyDescent="0.25">
      <c r="A45">
        <v>44</v>
      </c>
      <c r="B45" t="s">
        <v>313</v>
      </c>
      <c r="C45" t="s">
        <v>442</v>
      </c>
      <c r="D45">
        <v>91900</v>
      </c>
      <c r="E45" t="s">
        <v>8</v>
      </c>
      <c r="F45" t="s">
        <v>9</v>
      </c>
    </row>
    <row r="46" spans="1:6" x14ac:dyDescent="0.25">
      <c r="A46">
        <v>45</v>
      </c>
      <c r="B46" t="s">
        <v>289</v>
      </c>
      <c r="C46" t="s">
        <v>443</v>
      </c>
      <c r="D46">
        <v>44100</v>
      </c>
      <c r="E46" t="s">
        <v>38</v>
      </c>
      <c r="F46" t="s">
        <v>9</v>
      </c>
    </row>
    <row r="47" spans="1:6" x14ac:dyDescent="0.25">
      <c r="A47">
        <v>46</v>
      </c>
      <c r="B47" t="s">
        <v>277</v>
      </c>
      <c r="C47" t="s">
        <v>444</v>
      </c>
      <c r="D47">
        <v>69800</v>
      </c>
      <c r="E47" t="s">
        <v>8</v>
      </c>
      <c r="F47" t="s">
        <v>9</v>
      </c>
    </row>
    <row r="48" spans="1:6" x14ac:dyDescent="0.25">
      <c r="A48">
        <v>47</v>
      </c>
      <c r="B48" t="s">
        <v>349</v>
      </c>
      <c r="C48" t="s">
        <v>445</v>
      </c>
      <c r="D48">
        <v>122200</v>
      </c>
      <c r="E48" t="s">
        <v>8</v>
      </c>
      <c r="F48" t="s">
        <v>9</v>
      </c>
    </row>
    <row r="49" spans="1:6" x14ac:dyDescent="0.25">
      <c r="A49">
        <v>48</v>
      </c>
      <c r="B49" t="s">
        <v>234</v>
      </c>
      <c r="C49" t="s">
        <v>446</v>
      </c>
      <c r="D49">
        <v>41600</v>
      </c>
      <c r="E49" t="s">
        <v>8</v>
      </c>
      <c r="F49" t="s">
        <v>9</v>
      </c>
    </row>
    <row r="50" spans="1:6" x14ac:dyDescent="0.25">
      <c r="A50">
        <v>49</v>
      </c>
      <c r="B50" t="s">
        <v>154</v>
      </c>
      <c r="C50" t="s">
        <v>435</v>
      </c>
      <c r="D50">
        <v>100300</v>
      </c>
      <c r="E50" t="s">
        <v>23</v>
      </c>
      <c r="F50" t="s">
        <v>9</v>
      </c>
    </row>
    <row r="51" spans="1:6" x14ac:dyDescent="0.25">
      <c r="A51">
        <v>50</v>
      </c>
      <c r="B51" t="s">
        <v>242</v>
      </c>
      <c r="C51" t="s">
        <v>436</v>
      </c>
      <c r="D51">
        <v>18500</v>
      </c>
      <c r="E51" t="s">
        <v>8</v>
      </c>
      <c r="F51" t="s">
        <v>9</v>
      </c>
    </row>
    <row r="52" spans="1:6" x14ac:dyDescent="0.25">
      <c r="A52">
        <v>51</v>
      </c>
      <c r="B52" t="s">
        <v>316</v>
      </c>
      <c r="C52" t="s">
        <v>437</v>
      </c>
      <c r="D52">
        <v>47300</v>
      </c>
      <c r="E52" t="s">
        <v>8</v>
      </c>
      <c r="F52" t="s">
        <v>9</v>
      </c>
    </row>
    <row r="53" spans="1:6" x14ac:dyDescent="0.25">
      <c r="A53">
        <v>52</v>
      </c>
      <c r="B53" t="s">
        <v>54</v>
      </c>
      <c r="C53" t="s">
        <v>438</v>
      </c>
      <c r="D53">
        <v>34400</v>
      </c>
      <c r="E53" t="s">
        <v>8</v>
      </c>
      <c r="F53" t="s">
        <v>9</v>
      </c>
    </row>
    <row r="54" spans="1:6" x14ac:dyDescent="0.25">
      <c r="A54">
        <v>53</v>
      </c>
      <c r="B54" t="s">
        <v>112</v>
      </c>
      <c r="C54" t="s">
        <v>439</v>
      </c>
      <c r="D54">
        <v>70900</v>
      </c>
      <c r="E54" t="s">
        <v>8</v>
      </c>
      <c r="F54" t="s">
        <v>9</v>
      </c>
    </row>
    <row r="55" spans="1:6" x14ac:dyDescent="0.25">
      <c r="A55">
        <v>54</v>
      </c>
      <c r="B55" t="s">
        <v>398</v>
      </c>
      <c r="C55" t="s">
        <v>440</v>
      </c>
      <c r="D55">
        <v>18100</v>
      </c>
      <c r="E55" t="s">
        <v>8</v>
      </c>
      <c r="F55" t="s">
        <v>9</v>
      </c>
    </row>
    <row r="56" spans="1:6" x14ac:dyDescent="0.25">
      <c r="A56">
        <v>55</v>
      </c>
      <c r="B56" t="s">
        <v>272</v>
      </c>
      <c r="C56" t="s">
        <v>441</v>
      </c>
      <c r="D56">
        <v>44500</v>
      </c>
      <c r="E56" t="s">
        <v>38</v>
      </c>
      <c r="F56" t="s">
        <v>20</v>
      </c>
    </row>
    <row r="57" spans="1:6" x14ac:dyDescent="0.25">
      <c r="A57">
        <v>56</v>
      </c>
      <c r="B57" t="s">
        <v>230</v>
      </c>
      <c r="C57" t="s">
        <v>442</v>
      </c>
      <c r="D57">
        <v>211400</v>
      </c>
      <c r="E57" t="s">
        <v>23</v>
      </c>
      <c r="F57" t="s">
        <v>9</v>
      </c>
    </row>
    <row r="58" spans="1:6" x14ac:dyDescent="0.25">
      <c r="A58">
        <v>57</v>
      </c>
      <c r="B58" t="s">
        <v>369</v>
      </c>
      <c r="C58" t="s">
        <v>443</v>
      </c>
      <c r="D58">
        <v>276600</v>
      </c>
      <c r="E58" t="s">
        <v>8</v>
      </c>
      <c r="F58" t="s">
        <v>9</v>
      </c>
    </row>
    <row r="59" spans="1:6" x14ac:dyDescent="0.25">
      <c r="A59">
        <v>58</v>
      </c>
      <c r="B59" t="s">
        <v>370</v>
      </c>
      <c r="C59" t="s">
        <v>444</v>
      </c>
      <c r="D59">
        <v>163000</v>
      </c>
      <c r="E59" t="s">
        <v>8</v>
      </c>
      <c r="F59" t="s">
        <v>9</v>
      </c>
    </row>
    <row r="60" spans="1:6" x14ac:dyDescent="0.25">
      <c r="A60">
        <v>59</v>
      </c>
      <c r="B60" t="s">
        <v>121</v>
      </c>
      <c r="C60" t="s">
        <v>445</v>
      </c>
      <c r="D60">
        <v>44100</v>
      </c>
      <c r="E60" t="s">
        <v>8</v>
      </c>
      <c r="F60" t="s">
        <v>9</v>
      </c>
    </row>
    <row r="61" spans="1:6" x14ac:dyDescent="0.25">
      <c r="A61">
        <v>60</v>
      </c>
      <c r="B61" t="s">
        <v>336</v>
      </c>
      <c r="C61" t="s">
        <v>446</v>
      </c>
      <c r="D61">
        <v>35000</v>
      </c>
      <c r="E61" t="s">
        <v>8</v>
      </c>
      <c r="F61" t="s">
        <v>20</v>
      </c>
    </row>
    <row r="62" spans="1:6" x14ac:dyDescent="0.25">
      <c r="A62">
        <v>61</v>
      </c>
      <c r="B62" t="s">
        <v>348</v>
      </c>
      <c r="C62" t="s">
        <v>435</v>
      </c>
      <c r="D62">
        <v>309200</v>
      </c>
      <c r="E62" t="s">
        <v>8</v>
      </c>
      <c r="F62" t="s">
        <v>9</v>
      </c>
    </row>
    <row r="63" spans="1:6" x14ac:dyDescent="0.25">
      <c r="A63">
        <v>62</v>
      </c>
      <c r="B63" t="s">
        <v>26</v>
      </c>
      <c r="C63" t="s">
        <v>436</v>
      </c>
      <c r="D63">
        <v>37900</v>
      </c>
      <c r="E63" t="s">
        <v>8</v>
      </c>
      <c r="F63" t="s">
        <v>9</v>
      </c>
    </row>
    <row r="64" spans="1:6" x14ac:dyDescent="0.25">
      <c r="A64">
        <v>63</v>
      </c>
      <c r="B64" t="s">
        <v>219</v>
      </c>
      <c r="C64" t="s">
        <v>437</v>
      </c>
      <c r="D64">
        <v>38800</v>
      </c>
      <c r="E64" t="s">
        <v>38</v>
      </c>
      <c r="F64" t="s">
        <v>20</v>
      </c>
    </row>
    <row r="65" spans="1:6" x14ac:dyDescent="0.25">
      <c r="A65">
        <v>64</v>
      </c>
      <c r="B65" t="s">
        <v>225</v>
      </c>
      <c r="C65" t="s">
        <v>438</v>
      </c>
      <c r="D65">
        <v>44100</v>
      </c>
      <c r="E65" t="s">
        <v>8</v>
      </c>
      <c r="F65" t="s">
        <v>9</v>
      </c>
    </row>
    <row r="66" spans="1:6" x14ac:dyDescent="0.25">
      <c r="A66">
        <v>65</v>
      </c>
      <c r="B66" t="s">
        <v>90</v>
      </c>
      <c r="C66" t="s">
        <v>439</v>
      </c>
      <c r="D66">
        <v>99800</v>
      </c>
      <c r="E66" t="s">
        <v>8</v>
      </c>
      <c r="F66" t="s">
        <v>9</v>
      </c>
    </row>
    <row r="67" spans="1:6" x14ac:dyDescent="0.25">
      <c r="A67">
        <v>66</v>
      </c>
      <c r="B67" t="s">
        <v>391</v>
      </c>
      <c r="C67" t="s">
        <v>440</v>
      </c>
      <c r="D67">
        <v>151400</v>
      </c>
      <c r="E67" t="s">
        <v>8</v>
      </c>
      <c r="F67" t="s">
        <v>20</v>
      </c>
    </row>
    <row r="68" spans="1:6" x14ac:dyDescent="0.25">
      <c r="A68">
        <v>67</v>
      </c>
      <c r="B68" t="s">
        <v>354</v>
      </c>
      <c r="C68" t="s">
        <v>441</v>
      </c>
      <c r="D68">
        <v>37300</v>
      </c>
      <c r="E68" t="s">
        <v>8</v>
      </c>
      <c r="F68" t="s">
        <v>9</v>
      </c>
    </row>
    <row r="69" spans="1:6" x14ac:dyDescent="0.25">
      <c r="A69">
        <v>68</v>
      </c>
      <c r="B69" t="s">
        <v>128</v>
      </c>
      <c r="C69" t="s">
        <v>442</v>
      </c>
      <c r="D69">
        <v>75000</v>
      </c>
      <c r="E69" t="s">
        <v>38</v>
      </c>
      <c r="F69" t="s">
        <v>20</v>
      </c>
    </row>
    <row r="70" spans="1:6" x14ac:dyDescent="0.25">
      <c r="A70">
        <v>69</v>
      </c>
      <c r="B70" t="s">
        <v>94</v>
      </c>
      <c r="C70" t="s">
        <v>443</v>
      </c>
      <c r="D70">
        <v>107200</v>
      </c>
      <c r="E70" t="s">
        <v>8</v>
      </c>
      <c r="F70" t="s">
        <v>9</v>
      </c>
    </row>
    <row r="71" spans="1:6" x14ac:dyDescent="0.25">
      <c r="A71">
        <v>70</v>
      </c>
      <c r="B71" t="s">
        <v>128</v>
      </c>
      <c r="C71" t="s">
        <v>444</v>
      </c>
      <c r="D71">
        <v>165400</v>
      </c>
      <c r="E71" t="s">
        <v>8</v>
      </c>
      <c r="F71" t="s">
        <v>9</v>
      </c>
    </row>
    <row r="72" spans="1:6" x14ac:dyDescent="0.25">
      <c r="A72">
        <v>71</v>
      </c>
      <c r="B72" t="s">
        <v>140</v>
      </c>
      <c r="C72" t="s">
        <v>445</v>
      </c>
      <c r="D72">
        <v>87800</v>
      </c>
      <c r="E72" t="s">
        <v>23</v>
      </c>
      <c r="F72" t="s">
        <v>9</v>
      </c>
    </row>
    <row r="73" spans="1:6" x14ac:dyDescent="0.25">
      <c r="A73">
        <v>72</v>
      </c>
      <c r="B73" t="s">
        <v>243</v>
      </c>
      <c r="C73" t="s">
        <v>446</v>
      </c>
      <c r="D73">
        <v>47200</v>
      </c>
      <c r="E73" t="s">
        <v>38</v>
      </c>
      <c r="F73" t="s">
        <v>9</v>
      </c>
    </row>
    <row r="74" spans="1:6" x14ac:dyDescent="0.25">
      <c r="A74">
        <v>73</v>
      </c>
      <c r="B74" t="s">
        <v>249</v>
      </c>
      <c r="C74" t="s">
        <v>435</v>
      </c>
      <c r="D74">
        <v>35700</v>
      </c>
      <c r="E74" t="s">
        <v>8</v>
      </c>
      <c r="F74" t="s">
        <v>20</v>
      </c>
    </row>
    <row r="75" spans="1:6" x14ac:dyDescent="0.25">
      <c r="A75">
        <v>74</v>
      </c>
      <c r="B75" t="s">
        <v>312</v>
      </c>
      <c r="C75" t="s">
        <v>436</v>
      </c>
      <c r="D75">
        <v>33300</v>
      </c>
      <c r="E75" t="s">
        <v>8</v>
      </c>
      <c r="F75" t="s">
        <v>9</v>
      </c>
    </row>
    <row r="76" spans="1:6" x14ac:dyDescent="0.25">
      <c r="A76">
        <v>75</v>
      </c>
      <c r="B76" t="s">
        <v>181</v>
      </c>
      <c r="C76" t="s">
        <v>437</v>
      </c>
      <c r="D76">
        <v>193700</v>
      </c>
      <c r="E76" t="s">
        <v>8</v>
      </c>
      <c r="F76" t="s">
        <v>9</v>
      </c>
    </row>
    <row r="77" spans="1:6" x14ac:dyDescent="0.25">
      <c r="A77">
        <v>76</v>
      </c>
      <c r="B77" t="s">
        <v>48</v>
      </c>
      <c r="C77" t="s">
        <v>438</v>
      </c>
      <c r="D77">
        <v>18000</v>
      </c>
      <c r="E77" t="s">
        <v>38</v>
      </c>
      <c r="F77" t="s">
        <v>9</v>
      </c>
    </row>
    <row r="78" spans="1:6" x14ac:dyDescent="0.25">
      <c r="A78">
        <v>77</v>
      </c>
      <c r="B78" t="s">
        <v>261</v>
      </c>
      <c r="C78" t="s">
        <v>439</v>
      </c>
      <c r="D78">
        <v>26200</v>
      </c>
      <c r="E78" t="s">
        <v>38</v>
      </c>
      <c r="F78" t="s">
        <v>9</v>
      </c>
    </row>
    <row r="79" spans="1:6" x14ac:dyDescent="0.25">
      <c r="A79">
        <v>78</v>
      </c>
      <c r="B79" t="s">
        <v>67</v>
      </c>
      <c r="C79" t="s">
        <v>440</v>
      </c>
      <c r="D79">
        <v>33200</v>
      </c>
      <c r="E79" t="s">
        <v>38</v>
      </c>
      <c r="F79" t="s">
        <v>20</v>
      </c>
    </row>
    <row r="80" spans="1:6" x14ac:dyDescent="0.25">
      <c r="A80">
        <v>79</v>
      </c>
      <c r="B80" t="s">
        <v>420</v>
      </c>
      <c r="C80" t="s">
        <v>441</v>
      </c>
      <c r="D80">
        <v>60700</v>
      </c>
      <c r="E80" t="s">
        <v>8</v>
      </c>
      <c r="F80" t="s">
        <v>9</v>
      </c>
    </row>
    <row r="81" spans="1:6" x14ac:dyDescent="0.25">
      <c r="A81">
        <v>80</v>
      </c>
      <c r="B81" t="s">
        <v>345</v>
      </c>
      <c r="C81" t="s">
        <v>442</v>
      </c>
      <c r="D81">
        <v>6800</v>
      </c>
      <c r="E81" t="s">
        <v>38</v>
      </c>
      <c r="F81" t="s">
        <v>20</v>
      </c>
    </row>
    <row r="82" spans="1:6" x14ac:dyDescent="0.25">
      <c r="A82">
        <v>81</v>
      </c>
      <c r="B82" t="s">
        <v>140</v>
      </c>
      <c r="C82" t="s">
        <v>443</v>
      </c>
      <c r="D82">
        <v>36800</v>
      </c>
      <c r="E82" t="s">
        <v>8</v>
      </c>
      <c r="F82" t="s">
        <v>9</v>
      </c>
    </row>
    <row r="83" spans="1:6" x14ac:dyDescent="0.25">
      <c r="A83">
        <v>82</v>
      </c>
      <c r="B83" t="s">
        <v>324</v>
      </c>
      <c r="C83" t="s">
        <v>444</v>
      </c>
      <c r="D83">
        <v>132600</v>
      </c>
      <c r="E83" t="s">
        <v>8</v>
      </c>
      <c r="F83" t="s">
        <v>9</v>
      </c>
    </row>
    <row r="84" spans="1:6" x14ac:dyDescent="0.25">
      <c r="A84">
        <v>83</v>
      </c>
      <c r="B84" t="s">
        <v>129</v>
      </c>
      <c r="C84" t="s">
        <v>445</v>
      </c>
      <c r="D84">
        <v>129900</v>
      </c>
      <c r="E84" t="s">
        <v>8</v>
      </c>
      <c r="F84" t="s">
        <v>9</v>
      </c>
    </row>
    <row r="85" spans="1:6" x14ac:dyDescent="0.25">
      <c r="A85">
        <v>84</v>
      </c>
      <c r="B85" t="s">
        <v>321</v>
      </c>
      <c r="C85" t="s">
        <v>446</v>
      </c>
      <c r="D85">
        <v>81200</v>
      </c>
      <c r="E85" t="s">
        <v>8</v>
      </c>
      <c r="F85" t="s">
        <v>9</v>
      </c>
    </row>
    <row r="86" spans="1:6" x14ac:dyDescent="0.25">
      <c r="A86">
        <v>85</v>
      </c>
      <c r="B86" t="s">
        <v>324</v>
      </c>
      <c r="C86" t="s">
        <v>435</v>
      </c>
      <c r="D86">
        <v>28000</v>
      </c>
      <c r="E86" t="s">
        <v>8</v>
      </c>
      <c r="F86" t="s">
        <v>9</v>
      </c>
    </row>
    <row r="87" spans="1:6" x14ac:dyDescent="0.25">
      <c r="A87">
        <v>86</v>
      </c>
      <c r="B87" t="s">
        <v>417</v>
      </c>
      <c r="C87" t="s">
        <v>436</v>
      </c>
      <c r="D87">
        <v>27100</v>
      </c>
      <c r="E87" t="s">
        <v>8</v>
      </c>
      <c r="F87" t="s">
        <v>20</v>
      </c>
    </row>
    <row r="88" spans="1:6" x14ac:dyDescent="0.25">
      <c r="A88">
        <v>87</v>
      </c>
      <c r="B88" t="s">
        <v>238</v>
      </c>
      <c r="C88" t="s">
        <v>437</v>
      </c>
      <c r="D88">
        <v>16700</v>
      </c>
      <c r="E88" t="s">
        <v>8</v>
      </c>
      <c r="F88" t="s">
        <v>9</v>
      </c>
    </row>
    <row r="89" spans="1:6" x14ac:dyDescent="0.25">
      <c r="A89">
        <v>88</v>
      </c>
      <c r="B89" t="s">
        <v>161</v>
      </c>
      <c r="C89" t="s">
        <v>438</v>
      </c>
      <c r="D89">
        <v>6900</v>
      </c>
      <c r="E89" t="s">
        <v>8</v>
      </c>
      <c r="F89" t="s">
        <v>9</v>
      </c>
    </row>
    <row r="90" spans="1:6" x14ac:dyDescent="0.25">
      <c r="A90">
        <v>89</v>
      </c>
      <c r="B90" t="s">
        <v>250</v>
      </c>
      <c r="C90" t="s">
        <v>439</v>
      </c>
      <c r="D90">
        <v>27200</v>
      </c>
      <c r="E90" t="s">
        <v>23</v>
      </c>
      <c r="F90" t="s">
        <v>9</v>
      </c>
    </row>
    <row r="91" spans="1:6" x14ac:dyDescent="0.25">
      <c r="A91">
        <v>90</v>
      </c>
      <c r="B91" t="s">
        <v>282</v>
      </c>
      <c r="C91" t="s">
        <v>440</v>
      </c>
      <c r="D91">
        <v>31800</v>
      </c>
      <c r="E91" t="s">
        <v>8</v>
      </c>
      <c r="F91" t="s">
        <v>9</v>
      </c>
    </row>
    <row r="92" spans="1:6" x14ac:dyDescent="0.25">
      <c r="A92">
        <v>91</v>
      </c>
      <c r="B92" t="s">
        <v>330</v>
      </c>
      <c r="C92" t="s">
        <v>441</v>
      </c>
      <c r="D92">
        <v>13900</v>
      </c>
      <c r="E92" t="s">
        <v>8</v>
      </c>
      <c r="F92" t="s">
        <v>20</v>
      </c>
    </row>
    <row r="93" spans="1:6" x14ac:dyDescent="0.25">
      <c r="A93">
        <v>92</v>
      </c>
      <c r="B93" t="s">
        <v>206</v>
      </c>
      <c r="C93" t="s">
        <v>442</v>
      </c>
      <c r="D93">
        <v>21800</v>
      </c>
      <c r="E93" t="s">
        <v>8</v>
      </c>
      <c r="F93" t="s">
        <v>9</v>
      </c>
    </row>
    <row r="94" spans="1:6" x14ac:dyDescent="0.25">
      <c r="A94">
        <v>93</v>
      </c>
      <c r="B94" t="s">
        <v>99</v>
      </c>
      <c r="C94" t="s">
        <v>443</v>
      </c>
      <c r="D94">
        <v>18900</v>
      </c>
      <c r="E94" t="s">
        <v>8</v>
      </c>
      <c r="F94" t="s">
        <v>9</v>
      </c>
    </row>
    <row r="95" spans="1:6" x14ac:dyDescent="0.25">
      <c r="A95">
        <v>94</v>
      </c>
      <c r="B95" t="s">
        <v>421</v>
      </c>
      <c r="C95" t="s">
        <v>444</v>
      </c>
      <c r="D95">
        <v>61400</v>
      </c>
      <c r="E95" t="s">
        <v>8</v>
      </c>
      <c r="F95" t="s">
        <v>9</v>
      </c>
    </row>
    <row r="96" spans="1:6" x14ac:dyDescent="0.25">
      <c r="A96">
        <v>95</v>
      </c>
      <c r="B96" t="s">
        <v>43</v>
      </c>
      <c r="C96" t="s">
        <v>445</v>
      </c>
      <c r="D96">
        <v>20800</v>
      </c>
      <c r="E96" t="s">
        <v>38</v>
      </c>
      <c r="F96" t="s">
        <v>20</v>
      </c>
    </row>
    <row r="97" spans="1:6" x14ac:dyDescent="0.25">
      <c r="A97">
        <v>96</v>
      </c>
      <c r="B97" t="s">
        <v>186</v>
      </c>
      <c r="C97" t="s">
        <v>446</v>
      </c>
      <c r="D97">
        <v>39500</v>
      </c>
      <c r="E97" t="s">
        <v>8</v>
      </c>
      <c r="F97" t="s">
        <v>9</v>
      </c>
    </row>
    <row r="98" spans="1:6" x14ac:dyDescent="0.25">
      <c r="A98">
        <v>97</v>
      </c>
      <c r="B98" t="s">
        <v>232</v>
      </c>
      <c r="C98" t="s">
        <v>435</v>
      </c>
      <c r="D98">
        <v>27200</v>
      </c>
      <c r="E98" t="s">
        <v>8</v>
      </c>
      <c r="F98" t="s">
        <v>9</v>
      </c>
    </row>
    <row r="99" spans="1:6" x14ac:dyDescent="0.25">
      <c r="A99">
        <v>98</v>
      </c>
      <c r="B99" t="s">
        <v>374</v>
      </c>
      <c r="C99" t="s">
        <v>436</v>
      </c>
      <c r="D99">
        <v>50300</v>
      </c>
      <c r="E99" t="s">
        <v>8</v>
      </c>
      <c r="F99" t="s">
        <v>9</v>
      </c>
    </row>
    <row r="100" spans="1:6" x14ac:dyDescent="0.25">
      <c r="A100">
        <v>99</v>
      </c>
      <c r="B100" t="s">
        <v>336</v>
      </c>
      <c r="C100" t="s">
        <v>437</v>
      </c>
      <c r="D100">
        <v>17400</v>
      </c>
      <c r="E100" t="s">
        <v>8</v>
      </c>
      <c r="F100" t="s">
        <v>20</v>
      </c>
    </row>
    <row r="101" spans="1:6" x14ac:dyDescent="0.25">
      <c r="A101">
        <v>100</v>
      </c>
      <c r="B101" t="s">
        <v>51</v>
      </c>
      <c r="C101" t="s">
        <v>438</v>
      </c>
      <c r="D101">
        <v>37600</v>
      </c>
      <c r="E101" t="s">
        <v>8</v>
      </c>
      <c r="F101" t="s">
        <v>9</v>
      </c>
    </row>
    <row r="102" spans="1:6" x14ac:dyDescent="0.25">
      <c r="A102">
        <v>101</v>
      </c>
      <c r="B102" t="s">
        <v>112</v>
      </c>
      <c r="C102" t="s">
        <v>439</v>
      </c>
      <c r="D102">
        <v>166200</v>
      </c>
      <c r="E102" t="s">
        <v>8</v>
      </c>
      <c r="F102" t="s">
        <v>20</v>
      </c>
    </row>
    <row r="103" spans="1:6" x14ac:dyDescent="0.25">
      <c r="A103">
        <v>102</v>
      </c>
      <c r="B103" t="s">
        <v>68</v>
      </c>
      <c r="C103" t="s">
        <v>440</v>
      </c>
      <c r="D103">
        <v>26000</v>
      </c>
      <c r="E103" t="s">
        <v>23</v>
      </c>
      <c r="F103" t="s">
        <v>9</v>
      </c>
    </row>
    <row r="104" spans="1:6" x14ac:dyDescent="0.25">
      <c r="A104">
        <v>103</v>
      </c>
      <c r="B104" t="s">
        <v>135</v>
      </c>
      <c r="C104" t="s">
        <v>441</v>
      </c>
      <c r="D104">
        <v>23800</v>
      </c>
      <c r="E104" t="s">
        <v>8</v>
      </c>
      <c r="F104" t="s">
        <v>9</v>
      </c>
    </row>
    <row r="105" spans="1:6" x14ac:dyDescent="0.25">
      <c r="A105">
        <v>104</v>
      </c>
      <c r="B105" t="s">
        <v>151</v>
      </c>
      <c r="C105" t="s">
        <v>442</v>
      </c>
      <c r="D105">
        <v>234900</v>
      </c>
      <c r="E105" t="s">
        <v>8</v>
      </c>
      <c r="F105" t="s">
        <v>9</v>
      </c>
    </row>
    <row r="106" spans="1:6" x14ac:dyDescent="0.25">
      <c r="A106">
        <v>105</v>
      </c>
      <c r="B106" t="s">
        <v>282</v>
      </c>
      <c r="C106" t="s">
        <v>443</v>
      </c>
      <c r="D106">
        <v>51900</v>
      </c>
      <c r="E106" t="s">
        <v>38</v>
      </c>
      <c r="F106" t="s">
        <v>20</v>
      </c>
    </row>
    <row r="107" spans="1:6" x14ac:dyDescent="0.25">
      <c r="A107">
        <v>106</v>
      </c>
      <c r="B107" t="s">
        <v>239</v>
      </c>
      <c r="C107" t="s">
        <v>444</v>
      </c>
      <c r="D107">
        <v>11900</v>
      </c>
      <c r="E107" t="s">
        <v>38</v>
      </c>
      <c r="F107" t="s">
        <v>20</v>
      </c>
    </row>
    <row r="108" spans="1:6" x14ac:dyDescent="0.25">
      <c r="A108">
        <v>107</v>
      </c>
      <c r="B108" t="s">
        <v>237</v>
      </c>
      <c r="C108" t="s">
        <v>445</v>
      </c>
      <c r="D108">
        <v>28000</v>
      </c>
      <c r="E108" t="s">
        <v>8</v>
      </c>
      <c r="F108" t="s">
        <v>9</v>
      </c>
    </row>
    <row r="109" spans="1:6" x14ac:dyDescent="0.25">
      <c r="A109">
        <v>108</v>
      </c>
      <c r="B109" t="s">
        <v>283</v>
      </c>
      <c r="C109" t="s">
        <v>438</v>
      </c>
      <c r="D109">
        <v>420000</v>
      </c>
      <c r="E109" t="s">
        <v>8</v>
      </c>
      <c r="F109" t="s">
        <v>9</v>
      </c>
    </row>
    <row r="110" spans="1:6" x14ac:dyDescent="0.25">
      <c r="A110">
        <v>109</v>
      </c>
      <c r="B110" t="s">
        <v>271</v>
      </c>
      <c r="C110" t="s">
        <v>435</v>
      </c>
      <c r="D110">
        <v>254100</v>
      </c>
      <c r="E110" t="s">
        <v>8</v>
      </c>
      <c r="F110" t="s">
        <v>9</v>
      </c>
    </row>
    <row r="111" spans="1:6" x14ac:dyDescent="0.25">
      <c r="A111">
        <v>110</v>
      </c>
      <c r="B111" t="s">
        <v>185</v>
      </c>
      <c r="C111" t="s">
        <v>436</v>
      </c>
      <c r="D111">
        <v>11600</v>
      </c>
      <c r="E111" t="s">
        <v>8</v>
      </c>
      <c r="F111" t="s">
        <v>9</v>
      </c>
    </row>
    <row r="112" spans="1:6" x14ac:dyDescent="0.25">
      <c r="A112">
        <v>111</v>
      </c>
      <c r="B112" t="s">
        <v>290</v>
      </c>
      <c r="C112" t="s">
        <v>437</v>
      </c>
      <c r="D112">
        <v>48500</v>
      </c>
      <c r="E112" t="s">
        <v>8</v>
      </c>
      <c r="F112" t="s">
        <v>9</v>
      </c>
    </row>
    <row r="113" spans="1:6" x14ac:dyDescent="0.25">
      <c r="A113">
        <v>112</v>
      </c>
      <c r="B113" t="s">
        <v>194</v>
      </c>
      <c r="C113" t="s">
        <v>438</v>
      </c>
      <c r="D113">
        <v>25000</v>
      </c>
      <c r="E113" t="s">
        <v>38</v>
      </c>
      <c r="F113" t="s">
        <v>20</v>
      </c>
    </row>
    <row r="114" spans="1:6" x14ac:dyDescent="0.25">
      <c r="A114">
        <v>113</v>
      </c>
      <c r="B114" t="s">
        <v>264</v>
      </c>
      <c r="C114" t="s">
        <v>439</v>
      </c>
      <c r="D114">
        <v>82300</v>
      </c>
      <c r="E114" t="s">
        <v>8</v>
      </c>
      <c r="F114" t="s">
        <v>9</v>
      </c>
    </row>
    <row r="115" spans="1:6" x14ac:dyDescent="0.25">
      <c r="A115">
        <v>114</v>
      </c>
      <c r="B115" t="s">
        <v>50</v>
      </c>
      <c r="C115" t="s">
        <v>440</v>
      </c>
      <c r="D115">
        <v>48500</v>
      </c>
      <c r="E115" t="s">
        <v>8</v>
      </c>
      <c r="F115" t="s">
        <v>20</v>
      </c>
    </row>
    <row r="116" spans="1:6" x14ac:dyDescent="0.25">
      <c r="A116">
        <v>115</v>
      </c>
      <c r="B116" t="s">
        <v>120</v>
      </c>
      <c r="C116" t="s">
        <v>441</v>
      </c>
      <c r="D116">
        <v>79900</v>
      </c>
      <c r="E116" t="s">
        <v>38</v>
      </c>
      <c r="F116" t="s">
        <v>20</v>
      </c>
    </row>
    <row r="117" spans="1:6" x14ac:dyDescent="0.25">
      <c r="A117">
        <v>116</v>
      </c>
      <c r="B117" t="s">
        <v>254</v>
      </c>
      <c r="C117" t="s">
        <v>442</v>
      </c>
      <c r="D117">
        <v>38200</v>
      </c>
      <c r="E117" t="s">
        <v>8</v>
      </c>
      <c r="F117" t="s">
        <v>9</v>
      </c>
    </row>
    <row r="118" spans="1:6" x14ac:dyDescent="0.25">
      <c r="A118">
        <v>117</v>
      </c>
      <c r="B118" t="s">
        <v>202</v>
      </c>
      <c r="C118" t="s">
        <v>443</v>
      </c>
      <c r="D118">
        <v>20300</v>
      </c>
      <c r="E118" t="s">
        <v>8</v>
      </c>
      <c r="F118" t="s">
        <v>9</v>
      </c>
    </row>
    <row r="119" spans="1:6" x14ac:dyDescent="0.25">
      <c r="A119">
        <v>118</v>
      </c>
      <c r="B119" t="s">
        <v>314</v>
      </c>
      <c r="C119" t="s">
        <v>444</v>
      </c>
      <c r="D119">
        <v>23900</v>
      </c>
      <c r="E119" t="s">
        <v>23</v>
      </c>
      <c r="F119" t="s">
        <v>9</v>
      </c>
    </row>
    <row r="120" spans="1:6" x14ac:dyDescent="0.25">
      <c r="A120">
        <v>119</v>
      </c>
      <c r="B120" t="s">
        <v>86</v>
      </c>
      <c r="C120" t="s">
        <v>445</v>
      </c>
      <c r="D120">
        <v>91600</v>
      </c>
      <c r="E120" t="s">
        <v>8</v>
      </c>
      <c r="F120" t="s">
        <v>9</v>
      </c>
    </row>
    <row r="121" spans="1:6" x14ac:dyDescent="0.25">
      <c r="A121">
        <v>120</v>
      </c>
      <c r="B121" t="s">
        <v>45</v>
      </c>
      <c r="C121" t="s">
        <v>446</v>
      </c>
      <c r="D121">
        <v>167700</v>
      </c>
      <c r="E121" t="s">
        <v>8</v>
      </c>
      <c r="F121" t="s">
        <v>9</v>
      </c>
    </row>
    <row r="122" spans="1:6" x14ac:dyDescent="0.25">
      <c r="A122">
        <v>121</v>
      </c>
      <c r="B122" t="s">
        <v>75</v>
      </c>
      <c r="C122" t="s">
        <v>435</v>
      </c>
      <c r="D122">
        <v>113700</v>
      </c>
      <c r="E122" t="s">
        <v>8</v>
      </c>
      <c r="F122" t="s">
        <v>9</v>
      </c>
    </row>
    <row r="123" spans="1:6" x14ac:dyDescent="0.25">
      <c r="A123">
        <v>122</v>
      </c>
      <c r="B123" t="s">
        <v>189</v>
      </c>
      <c r="C123" t="s">
        <v>436</v>
      </c>
      <c r="D123">
        <v>14200</v>
      </c>
      <c r="E123" t="s">
        <v>23</v>
      </c>
      <c r="F123" t="s">
        <v>9</v>
      </c>
    </row>
    <row r="124" spans="1:6" x14ac:dyDescent="0.25">
      <c r="A124">
        <v>123</v>
      </c>
      <c r="B124" t="s">
        <v>221</v>
      </c>
      <c r="C124" t="s">
        <v>437</v>
      </c>
      <c r="D124">
        <v>39500</v>
      </c>
      <c r="E124" t="s">
        <v>8</v>
      </c>
      <c r="F124" t="s">
        <v>9</v>
      </c>
    </row>
    <row r="125" spans="1:6" x14ac:dyDescent="0.25">
      <c r="A125">
        <v>124</v>
      </c>
      <c r="B125" t="s">
        <v>93</v>
      </c>
      <c r="C125" t="s">
        <v>438</v>
      </c>
      <c r="D125">
        <v>36800</v>
      </c>
      <c r="E125" t="s">
        <v>23</v>
      </c>
      <c r="F125" t="s">
        <v>9</v>
      </c>
    </row>
    <row r="126" spans="1:6" x14ac:dyDescent="0.25">
      <c r="A126">
        <v>125</v>
      </c>
      <c r="B126" t="s">
        <v>151</v>
      </c>
      <c r="C126" t="s">
        <v>439</v>
      </c>
      <c r="D126">
        <v>106900</v>
      </c>
      <c r="E126" t="s">
        <v>8</v>
      </c>
      <c r="F126" t="s">
        <v>9</v>
      </c>
    </row>
    <row r="127" spans="1:6" x14ac:dyDescent="0.25">
      <c r="A127">
        <v>126</v>
      </c>
      <c r="B127" t="s">
        <v>72</v>
      </c>
      <c r="C127" t="s">
        <v>440</v>
      </c>
      <c r="D127">
        <v>11500</v>
      </c>
      <c r="E127" t="s">
        <v>8</v>
      </c>
      <c r="F127" t="s">
        <v>9</v>
      </c>
    </row>
    <row r="128" spans="1:6" x14ac:dyDescent="0.25">
      <c r="A128">
        <v>127</v>
      </c>
      <c r="B128" t="s">
        <v>108</v>
      </c>
      <c r="C128" t="s">
        <v>441</v>
      </c>
      <c r="D128">
        <v>82500</v>
      </c>
      <c r="E128" t="s">
        <v>23</v>
      </c>
      <c r="F128" t="s">
        <v>9</v>
      </c>
    </row>
    <row r="129" spans="1:6" x14ac:dyDescent="0.25">
      <c r="A129">
        <v>128</v>
      </c>
      <c r="B129" t="s">
        <v>163</v>
      </c>
      <c r="C129" t="s">
        <v>442</v>
      </c>
      <c r="D129">
        <v>84900</v>
      </c>
      <c r="E129" t="s">
        <v>8</v>
      </c>
      <c r="F129" t="s">
        <v>9</v>
      </c>
    </row>
    <row r="130" spans="1:6" x14ac:dyDescent="0.25">
      <c r="A130">
        <v>129</v>
      </c>
      <c r="B130" t="s">
        <v>53</v>
      </c>
      <c r="C130" t="s">
        <v>435</v>
      </c>
      <c r="D130">
        <v>450000</v>
      </c>
      <c r="E130" t="s">
        <v>8</v>
      </c>
      <c r="F130" t="s">
        <v>9</v>
      </c>
    </row>
    <row r="131" spans="1:6" x14ac:dyDescent="0.25">
      <c r="A131">
        <v>130</v>
      </c>
      <c r="B131" t="s">
        <v>214</v>
      </c>
      <c r="C131" t="s">
        <v>444</v>
      </c>
      <c r="D131">
        <v>27400</v>
      </c>
      <c r="E131" t="s">
        <v>8</v>
      </c>
      <c r="F131" t="s">
        <v>9</v>
      </c>
    </row>
    <row r="132" spans="1:6" x14ac:dyDescent="0.25">
      <c r="A132">
        <v>131</v>
      </c>
      <c r="B132" t="s">
        <v>159</v>
      </c>
      <c r="C132" t="s">
        <v>445</v>
      </c>
      <c r="D132">
        <v>18000</v>
      </c>
      <c r="E132" t="s">
        <v>8</v>
      </c>
      <c r="F132" t="s">
        <v>9</v>
      </c>
    </row>
    <row r="133" spans="1:6" x14ac:dyDescent="0.25">
      <c r="A133">
        <v>132</v>
      </c>
      <c r="B133" t="s">
        <v>368</v>
      </c>
      <c r="C133" t="s">
        <v>446</v>
      </c>
      <c r="D133">
        <v>21200</v>
      </c>
      <c r="E133" t="s">
        <v>23</v>
      </c>
      <c r="F133" t="s">
        <v>9</v>
      </c>
    </row>
    <row r="134" spans="1:6" x14ac:dyDescent="0.25">
      <c r="A134">
        <v>133</v>
      </c>
      <c r="B134" t="s">
        <v>65</v>
      </c>
      <c r="C134" t="s">
        <v>435</v>
      </c>
      <c r="D134">
        <v>42000</v>
      </c>
      <c r="E134" t="s">
        <v>38</v>
      </c>
      <c r="F134" t="s">
        <v>9</v>
      </c>
    </row>
    <row r="135" spans="1:6" x14ac:dyDescent="0.25">
      <c r="A135">
        <v>134</v>
      </c>
      <c r="B135" t="s">
        <v>343</v>
      </c>
      <c r="C135" t="s">
        <v>436</v>
      </c>
      <c r="D135">
        <v>72500</v>
      </c>
      <c r="E135" t="s">
        <v>38</v>
      </c>
      <c r="F135" t="s">
        <v>20</v>
      </c>
    </row>
    <row r="136" spans="1:6" x14ac:dyDescent="0.25">
      <c r="A136">
        <v>135</v>
      </c>
      <c r="B136" t="s">
        <v>268</v>
      </c>
      <c r="C136" t="s">
        <v>437</v>
      </c>
      <c r="D136">
        <v>96500</v>
      </c>
      <c r="E136" t="s">
        <v>8</v>
      </c>
      <c r="F136" t="s">
        <v>9</v>
      </c>
    </row>
    <row r="137" spans="1:6" x14ac:dyDescent="0.25">
      <c r="A137">
        <v>136</v>
      </c>
      <c r="B137" t="s">
        <v>198</v>
      </c>
      <c r="C137" t="s">
        <v>438</v>
      </c>
      <c r="D137">
        <v>106600</v>
      </c>
      <c r="E137" t="s">
        <v>8</v>
      </c>
      <c r="F137" t="s">
        <v>9</v>
      </c>
    </row>
    <row r="138" spans="1:6" x14ac:dyDescent="0.25">
      <c r="A138">
        <v>137</v>
      </c>
      <c r="B138" t="s">
        <v>387</v>
      </c>
      <c r="C138" t="s">
        <v>439</v>
      </c>
      <c r="D138">
        <v>462200</v>
      </c>
      <c r="E138" t="s">
        <v>8</v>
      </c>
      <c r="F138" t="s">
        <v>9</v>
      </c>
    </row>
    <row r="139" spans="1:6" x14ac:dyDescent="0.25">
      <c r="A139">
        <v>138</v>
      </c>
      <c r="B139" t="s">
        <v>171</v>
      </c>
      <c r="C139" t="s">
        <v>440</v>
      </c>
      <c r="D139">
        <v>225400</v>
      </c>
      <c r="E139" t="s">
        <v>8</v>
      </c>
      <c r="F139" t="s">
        <v>9</v>
      </c>
    </row>
    <row r="140" spans="1:6" x14ac:dyDescent="0.25">
      <c r="A140">
        <v>139</v>
      </c>
      <c r="B140" t="s">
        <v>419</v>
      </c>
      <c r="C140" t="s">
        <v>441</v>
      </c>
      <c r="D140">
        <v>22200</v>
      </c>
      <c r="E140" t="s">
        <v>8</v>
      </c>
      <c r="F140" t="s">
        <v>9</v>
      </c>
    </row>
    <row r="141" spans="1:6" x14ac:dyDescent="0.25">
      <c r="A141">
        <v>140</v>
      </c>
      <c r="B141" t="s">
        <v>235</v>
      </c>
      <c r="C141" t="s">
        <v>442</v>
      </c>
      <c r="D141">
        <v>56100</v>
      </c>
      <c r="E141" t="s">
        <v>8</v>
      </c>
      <c r="F141" t="s">
        <v>9</v>
      </c>
    </row>
    <row r="142" spans="1:6" x14ac:dyDescent="0.25">
      <c r="A142">
        <v>141</v>
      </c>
      <c r="B142" t="s">
        <v>434</v>
      </c>
      <c r="C142" t="s">
        <v>443</v>
      </c>
      <c r="D142">
        <v>14800</v>
      </c>
      <c r="E142" t="s">
        <v>8</v>
      </c>
      <c r="F142" t="s">
        <v>9</v>
      </c>
    </row>
    <row r="143" spans="1:6" x14ac:dyDescent="0.25">
      <c r="A143">
        <v>142</v>
      </c>
      <c r="B143" t="s">
        <v>36</v>
      </c>
      <c r="C143" t="s">
        <v>444</v>
      </c>
      <c r="D143">
        <v>76100</v>
      </c>
      <c r="E143" t="s">
        <v>23</v>
      </c>
      <c r="F143" t="s">
        <v>9</v>
      </c>
    </row>
    <row r="144" spans="1:6" x14ac:dyDescent="0.25">
      <c r="A144">
        <v>143</v>
      </c>
      <c r="B144" t="s">
        <v>238</v>
      </c>
      <c r="C144" t="s">
        <v>445</v>
      </c>
      <c r="D144">
        <v>85700</v>
      </c>
      <c r="E144" t="s">
        <v>8</v>
      </c>
      <c r="F144" t="s">
        <v>9</v>
      </c>
    </row>
    <row r="145" spans="1:6" x14ac:dyDescent="0.25">
      <c r="A145">
        <v>144</v>
      </c>
      <c r="B145" t="s">
        <v>42</v>
      </c>
      <c r="C145" t="s">
        <v>446</v>
      </c>
      <c r="D145">
        <v>22500</v>
      </c>
      <c r="E145" t="s">
        <v>23</v>
      </c>
      <c r="F145" t="s">
        <v>9</v>
      </c>
    </row>
    <row r="146" spans="1:6" x14ac:dyDescent="0.25">
      <c r="A146">
        <v>145</v>
      </c>
      <c r="B146" t="s">
        <v>32</v>
      </c>
      <c r="C146" t="s">
        <v>435</v>
      </c>
      <c r="D146">
        <v>88200</v>
      </c>
      <c r="E146" t="s">
        <v>8</v>
      </c>
      <c r="F146" t="s">
        <v>9</v>
      </c>
    </row>
    <row r="147" spans="1:6" x14ac:dyDescent="0.25">
      <c r="A147">
        <v>146</v>
      </c>
      <c r="B147" t="s">
        <v>325</v>
      </c>
      <c r="C147" t="s">
        <v>436</v>
      </c>
      <c r="D147">
        <v>11600</v>
      </c>
      <c r="E147" t="s">
        <v>8</v>
      </c>
      <c r="F147" t="s">
        <v>9</v>
      </c>
    </row>
    <row r="148" spans="1:6" x14ac:dyDescent="0.25">
      <c r="A148">
        <v>147</v>
      </c>
      <c r="B148" t="s">
        <v>333</v>
      </c>
      <c r="C148" t="s">
        <v>437</v>
      </c>
      <c r="D148">
        <v>18700</v>
      </c>
      <c r="E148" t="s">
        <v>8</v>
      </c>
      <c r="F148" t="s">
        <v>9</v>
      </c>
    </row>
    <row r="149" spans="1:6" x14ac:dyDescent="0.25">
      <c r="A149">
        <v>148</v>
      </c>
      <c r="B149" t="s">
        <v>97</v>
      </c>
      <c r="C149" t="s">
        <v>438</v>
      </c>
      <c r="D149">
        <v>30900</v>
      </c>
      <c r="E149" t="s">
        <v>38</v>
      </c>
      <c r="F149" t="s">
        <v>20</v>
      </c>
    </row>
    <row r="150" spans="1:6" x14ac:dyDescent="0.25">
      <c r="A150">
        <v>149</v>
      </c>
      <c r="B150" t="s">
        <v>271</v>
      </c>
      <c r="C150" t="s">
        <v>439</v>
      </c>
      <c r="D150">
        <v>19100</v>
      </c>
      <c r="E150" t="s">
        <v>8</v>
      </c>
      <c r="F150" t="s">
        <v>9</v>
      </c>
    </row>
    <row r="151" spans="1:6" x14ac:dyDescent="0.25">
      <c r="A151">
        <v>150</v>
      </c>
      <c r="B151" t="s">
        <v>46</v>
      </c>
      <c r="C151" t="s">
        <v>440</v>
      </c>
      <c r="D151">
        <v>229300</v>
      </c>
      <c r="E151" t="s">
        <v>8</v>
      </c>
      <c r="F151" t="s">
        <v>9</v>
      </c>
    </row>
    <row r="152" spans="1:6" x14ac:dyDescent="0.25">
      <c r="A152">
        <v>151</v>
      </c>
      <c r="B152" t="s">
        <v>417</v>
      </c>
      <c r="C152" t="s">
        <v>441</v>
      </c>
      <c r="D152">
        <v>62600</v>
      </c>
      <c r="E152" t="s">
        <v>8</v>
      </c>
      <c r="F152" t="s">
        <v>20</v>
      </c>
    </row>
    <row r="153" spans="1:6" x14ac:dyDescent="0.25">
      <c r="A153">
        <v>152</v>
      </c>
      <c r="B153" t="s">
        <v>317</v>
      </c>
      <c r="C153" t="s">
        <v>442</v>
      </c>
      <c r="D153">
        <v>43300</v>
      </c>
      <c r="E153" t="s">
        <v>23</v>
      </c>
      <c r="F153" t="s">
        <v>9</v>
      </c>
    </row>
    <row r="154" spans="1:6" x14ac:dyDescent="0.25">
      <c r="A154">
        <v>153</v>
      </c>
      <c r="B154" t="s">
        <v>95</v>
      </c>
      <c r="C154" t="s">
        <v>443</v>
      </c>
      <c r="D154">
        <v>37800</v>
      </c>
      <c r="E154" t="s">
        <v>8</v>
      </c>
      <c r="F154" t="s">
        <v>9</v>
      </c>
    </row>
    <row r="155" spans="1:6" x14ac:dyDescent="0.25">
      <c r="A155">
        <v>154</v>
      </c>
      <c r="B155" t="s">
        <v>123</v>
      </c>
      <c r="C155" t="s">
        <v>444</v>
      </c>
      <c r="D155">
        <v>37200</v>
      </c>
      <c r="E155" t="s">
        <v>8</v>
      </c>
      <c r="F155" t="s">
        <v>9</v>
      </c>
    </row>
    <row r="156" spans="1:6" x14ac:dyDescent="0.25">
      <c r="A156">
        <v>155</v>
      </c>
      <c r="B156" t="s">
        <v>258</v>
      </c>
      <c r="C156" t="s">
        <v>445</v>
      </c>
      <c r="D156">
        <v>225100</v>
      </c>
      <c r="E156" t="s">
        <v>8</v>
      </c>
      <c r="F156" t="s">
        <v>9</v>
      </c>
    </row>
    <row r="157" spans="1:6" x14ac:dyDescent="0.25">
      <c r="A157">
        <v>156</v>
      </c>
      <c r="B157" t="s">
        <v>264</v>
      </c>
      <c r="C157" t="s">
        <v>446</v>
      </c>
      <c r="D157">
        <v>71100</v>
      </c>
      <c r="E157" t="s">
        <v>8</v>
      </c>
      <c r="F157" t="s">
        <v>9</v>
      </c>
    </row>
    <row r="158" spans="1:6" x14ac:dyDescent="0.25">
      <c r="A158">
        <v>157</v>
      </c>
      <c r="B158" t="s">
        <v>188</v>
      </c>
      <c r="C158" t="s">
        <v>435</v>
      </c>
      <c r="D158">
        <v>74600</v>
      </c>
      <c r="E158" t="s">
        <v>38</v>
      </c>
      <c r="F158" t="s">
        <v>20</v>
      </c>
    </row>
    <row r="159" spans="1:6" x14ac:dyDescent="0.25">
      <c r="A159">
        <v>158</v>
      </c>
      <c r="B159" t="s">
        <v>145</v>
      </c>
      <c r="C159" t="s">
        <v>436</v>
      </c>
      <c r="D159">
        <v>345200</v>
      </c>
      <c r="E159" t="s">
        <v>38</v>
      </c>
      <c r="F159" t="s">
        <v>20</v>
      </c>
    </row>
    <row r="160" spans="1:6" x14ac:dyDescent="0.25">
      <c r="A160">
        <v>159</v>
      </c>
      <c r="B160" t="s">
        <v>332</v>
      </c>
      <c r="C160" t="s">
        <v>437</v>
      </c>
      <c r="D160">
        <v>20100</v>
      </c>
      <c r="E160" t="s">
        <v>8</v>
      </c>
      <c r="F160" t="s">
        <v>9</v>
      </c>
    </row>
    <row r="161" spans="1:6" x14ac:dyDescent="0.25">
      <c r="A161">
        <v>160</v>
      </c>
      <c r="B161" t="s">
        <v>251</v>
      </c>
      <c r="C161" t="s">
        <v>438</v>
      </c>
      <c r="D161">
        <v>40700</v>
      </c>
      <c r="E161" t="s">
        <v>38</v>
      </c>
      <c r="F161" t="s">
        <v>20</v>
      </c>
    </row>
    <row r="162" spans="1:6" x14ac:dyDescent="0.25">
      <c r="A162">
        <v>161</v>
      </c>
      <c r="B162" t="s">
        <v>276</v>
      </c>
      <c r="C162" t="s">
        <v>439</v>
      </c>
      <c r="D162">
        <v>64400</v>
      </c>
      <c r="E162" t="s">
        <v>8</v>
      </c>
      <c r="F162" t="s">
        <v>9</v>
      </c>
    </row>
    <row r="163" spans="1:6" x14ac:dyDescent="0.25">
      <c r="A163">
        <v>162</v>
      </c>
      <c r="B163" t="s">
        <v>18</v>
      </c>
      <c r="C163" t="s">
        <v>440</v>
      </c>
      <c r="D163">
        <v>41200</v>
      </c>
      <c r="E163" t="s">
        <v>38</v>
      </c>
      <c r="F163" t="s">
        <v>9</v>
      </c>
    </row>
    <row r="164" spans="1:6" x14ac:dyDescent="0.25">
      <c r="A164">
        <v>163</v>
      </c>
      <c r="B164" t="s">
        <v>236</v>
      </c>
      <c r="C164" t="s">
        <v>441</v>
      </c>
      <c r="D164">
        <v>100600</v>
      </c>
      <c r="E164" t="s">
        <v>8</v>
      </c>
      <c r="F164" t="s">
        <v>9</v>
      </c>
    </row>
    <row r="165" spans="1:6" x14ac:dyDescent="0.25">
      <c r="A165">
        <v>164</v>
      </c>
      <c r="B165" t="s">
        <v>223</v>
      </c>
      <c r="C165" t="s">
        <v>442</v>
      </c>
      <c r="D165">
        <v>71600</v>
      </c>
      <c r="E165" t="s">
        <v>8</v>
      </c>
      <c r="F165" t="s">
        <v>9</v>
      </c>
    </row>
    <row r="166" spans="1:6" x14ac:dyDescent="0.25">
      <c r="A166">
        <v>165</v>
      </c>
      <c r="B166" t="s">
        <v>355</v>
      </c>
      <c r="C166" t="s">
        <v>443</v>
      </c>
      <c r="D166">
        <v>93300</v>
      </c>
      <c r="E166" t="s">
        <v>8</v>
      </c>
      <c r="F166" t="s">
        <v>9</v>
      </c>
    </row>
    <row r="167" spans="1:6" x14ac:dyDescent="0.25">
      <c r="A167">
        <v>166</v>
      </c>
      <c r="B167" t="s">
        <v>329</v>
      </c>
      <c r="C167" t="s">
        <v>444</v>
      </c>
      <c r="D167">
        <v>49100</v>
      </c>
      <c r="E167" t="s">
        <v>8</v>
      </c>
      <c r="F167" t="s">
        <v>9</v>
      </c>
    </row>
    <row r="168" spans="1:6" x14ac:dyDescent="0.25">
      <c r="A168">
        <v>167</v>
      </c>
      <c r="B168" t="s">
        <v>171</v>
      </c>
      <c r="C168" t="s">
        <v>445</v>
      </c>
      <c r="D168">
        <v>81100</v>
      </c>
      <c r="E168" t="s">
        <v>8</v>
      </c>
      <c r="F168" t="s">
        <v>9</v>
      </c>
    </row>
    <row r="169" spans="1:6" x14ac:dyDescent="0.25">
      <c r="A169">
        <v>168</v>
      </c>
      <c r="B169" t="s">
        <v>345</v>
      </c>
      <c r="C169" t="s">
        <v>446</v>
      </c>
      <c r="D169">
        <v>500000</v>
      </c>
      <c r="E169" t="s">
        <v>23</v>
      </c>
      <c r="F169" t="s">
        <v>9</v>
      </c>
    </row>
    <row r="170" spans="1:6" x14ac:dyDescent="0.25">
      <c r="A170">
        <v>169</v>
      </c>
      <c r="B170" t="s">
        <v>132</v>
      </c>
      <c r="C170" t="s">
        <v>435</v>
      </c>
      <c r="D170">
        <v>10200</v>
      </c>
      <c r="E170" t="s">
        <v>38</v>
      </c>
      <c r="F170" t="s">
        <v>20</v>
      </c>
    </row>
    <row r="171" spans="1:6" x14ac:dyDescent="0.25">
      <c r="A171">
        <v>170</v>
      </c>
      <c r="B171" t="s">
        <v>402</v>
      </c>
      <c r="C171" t="s">
        <v>436</v>
      </c>
      <c r="D171">
        <v>5900</v>
      </c>
      <c r="E171" t="s">
        <v>38</v>
      </c>
      <c r="F171" t="s">
        <v>20</v>
      </c>
    </row>
    <row r="172" spans="1:6" x14ac:dyDescent="0.25">
      <c r="A172">
        <v>171</v>
      </c>
      <c r="B172" t="s">
        <v>316</v>
      </c>
      <c r="C172" t="s">
        <v>437</v>
      </c>
      <c r="D172">
        <v>15500</v>
      </c>
      <c r="E172" t="s">
        <v>38</v>
      </c>
      <c r="F172" t="s">
        <v>20</v>
      </c>
    </row>
    <row r="173" spans="1:6" x14ac:dyDescent="0.25">
      <c r="A173">
        <v>172</v>
      </c>
      <c r="B173" t="s">
        <v>395</v>
      </c>
      <c r="C173" t="s">
        <v>438</v>
      </c>
      <c r="D173">
        <v>15000</v>
      </c>
      <c r="E173" t="s">
        <v>8</v>
      </c>
      <c r="F173" t="s">
        <v>9</v>
      </c>
    </row>
    <row r="174" spans="1:6" x14ac:dyDescent="0.25">
      <c r="A174">
        <v>173</v>
      </c>
      <c r="B174" t="s">
        <v>361</v>
      </c>
      <c r="C174" t="s">
        <v>439</v>
      </c>
      <c r="D174">
        <v>21300</v>
      </c>
      <c r="E174" t="s">
        <v>8</v>
      </c>
      <c r="F174" t="s">
        <v>20</v>
      </c>
    </row>
    <row r="175" spans="1:6" x14ac:dyDescent="0.25">
      <c r="A175">
        <v>174</v>
      </c>
      <c r="B175" t="s">
        <v>361</v>
      </c>
      <c r="C175" t="s">
        <v>440</v>
      </c>
      <c r="D175">
        <v>128500</v>
      </c>
      <c r="E175" t="s">
        <v>8</v>
      </c>
      <c r="F175" t="s">
        <v>9</v>
      </c>
    </row>
    <row r="176" spans="1:6" x14ac:dyDescent="0.25">
      <c r="A176">
        <v>175</v>
      </c>
      <c r="B176" t="s">
        <v>267</v>
      </c>
      <c r="C176" t="s">
        <v>441</v>
      </c>
      <c r="D176">
        <v>27500</v>
      </c>
      <c r="E176" t="s">
        <v>8</v>
      </c>
      <c r="F176" t="s">
        <v>9</v>
      </c>
    </row>
    <row r="177" spans="1:6" x14ac:dyDescent="0.25">
      <c r="A177">
        <v>176</v>
      </c>
      <c r="B177" t="s">
        <v>253</v>
      </c>
      <c r="C177" t="s">
        <v>442</v>
      </c>
      <c r="D177">
        <v>50700</v>
      </c>
      <c r="E177" t="s">
        <v>8</v>
      </c>
      <c r="F177" t="s">
        <v>9</v>
      </c>
    </row>
    <row r="178" spans="1:6" x14ac:dyDescent="0.25">
      <c r="A178">
        <v>177</v>
      </c>
      <c r="B178" t="s">
        <v>362</v>
      </c>
      <c r="C178" t="s">
        <v>443</v>
      </c>
      <c r="D178">
        <v>134400</v>
      </c>
      <c r="E178" t="s">
        <v>8</v>
      </c>
      <c r="F178" t="s">
        <v>9</v>
      </c>
    </row>
    <row r="179" spans="1:6" x14ac:dyDescent="0.25">
      <c r="A179">
        <v>178</v>
      </c>
      <c r="B179" t="s">
        <v>121</v>
      </c>
      <c r="C179" t="s">
        <v>444</v>
      </c>
      <c r="D179">
        <v>38000</v>
      </c>
      <c r="E179" t="s">
        <v>8</v>
      </c>
      <c r="F179" t="s">
        <v>9</v>
      </c>
    </row>
    <row r="180" spans="1:6" x14ac:dyDescent="0.25">
      <c r="A180">
        <v>179</v>
      </c>
      <c r="B180" t="s">
        <v>57</v>
      </c>
      <c r="C180" t="s">
        <v>445</v>
      </c>
      <c r="D180">
        <v>22400</v>
      </c>
      <c r="E180" t="s">
        <v>8</v>
      </c>
      <c r="F180" t="s">
        <v>9</v>
      </c>
    </row>
    <row r="181" spans="1:6" x14ac:dyDescent="0.25">
      <c r="A181">
        <v>180</v>
      </c>
      <c r="B181" t="s">
        <v>220</v>
      </c>
      <c r="C181" t="s">
        <v>446</v>
      </c>
      <c r="D181">
        <v>108400</v>
      </c>
      <c r="E181" t="s">
        <v>8</v>
      </c>
      <c r="F181" t="s">
        <v>9</v>
      </c>
    </row>
    <row r="182" spans="1:6" x14ac:dyDescent="0.25">
      <c r="A182">
        <v>181</v>
      </c>
      <c r="B182" t="s">
        <v>161</v>
      </c>
      <c r="C182" t="s">
        <v>435</v>
      </c>
      <c r="D182">
        <v>59100</v>
      </c>
      <c r="E182" t="s">
        <v>23</v>
      </c>
      <c r="F182" t="s">
        <v>9</v>
      </c>
    </row>
    <row r="183" spans="1:6" x14ac:dyDescent="0.25">
      <c r="A183">
        <v>182</v>
      </c>
      <c r="B183" t="s">
        <v>134</v>
      </c>
      <c r="C183" t="s">
        <v>436</v>
      </c>
      <c r="D183">
        <v>73400</v>
      </c>
      <c r="E183" t="s">
        <v>8</v>
      </c>
      <c r="F183" t="s">
        <v>20</v>
      </c>
    </row>
    <row r="184" spans="1:6" x14ac:dyDescent="0.25">
      <c r="A184">
        <v>183</v>
      </c>
      <c r="B184" t="s">
        <v>333</v>
      </c>
      <c r="C184" t="s">
        <v>437</v>
      </c>
      <c r="D184">
        <v>500000</v>
      </c>
      <c r="E184" t="s">
        <v>8</v>
      </c>
      <c r="F184" t="s">
        <v>9</v>
      </c>
    </row>
    <row r="185" spans="1:6" x14ac:dyDescent="0.25">
      <c r="A185">
        <v>184</v>
      </c>
      <c r="B185" t="s">
        <v>275</v>
      </c>
      <c r="C185" t="s">
        <v>438</v>
      </c>
      <c r="D185">
        <v>251100</v>
      </c>
      <c r="E185" t="s">
        <v>8</v>
      </c>
      <c r="F185" t="s">
        <v>9</v>
      </c>
    </row>
    <row r="186" spans="1:6" x14ac:dyDescent="0.25">
      <c r="A186">
        <v>185</v>
      </c>
      <c r="B186" t="s">
        <v>78</v>
      </c>
      <c r="C186" t="s">
        <v>439</v>
      </c>
      <c r="D186">
        <v>51200</v>
      </c>
      <c r="E186" t="s">
        <v>8</v>
      </c>
      <c r="F186" t="s">
        <v>9</v>
      </c>
    </row>
    <row r="187" spans="1:6" x14ac:dyDescent="0.25">
      <c r="A187">
        <v>186</v>
      </c>
      <c r="B187" t="s">
        <v>67</v>
      </c>
      <c r="C187" t="s">
        <v>440</v>
      </c>
      <c r="D187">
        <v>6400</v>
      </c>
      <c r="E187" t="s">
        <v>23</v>
      </c>
      <c r="F187" t="s">
        <v>9</v>
      </c>
    </row>
    <row r="188" spans="1:6" x14ac:dyDescent="0.25">
      <c r="A188">
        <v>187</v>
      </c>
      <c r="B188" t="s">
        <v>258</v>
      </c>
      <c r="C188" t="s">
        <v>441</v>
      </c>
      <c r="D188">
        <v>153000</v>
      </c>
      <c r="E188" t="s">
        <v>8</v>
      </c>
      <c r="F188" t="s">
        <v>9</v>
      </c>
    </row>
    <row r="189" spans="1:6" x14ac:dyDescent="0.25">
      <c r="A189">
        <v>188</v>
      </c>
      <c r="B189" t="s">
        <v>289</v>
      </c>
      <c r="C189" t="s">
        <v>442</v>
      </c>
      <c r="D189">
        <v>52100</v>
      </c>
      <c r="E189" t="s">
        <v>38</v>
      </c>
      <c r="F189" t="s">
        <v>20</v>
      </c>
    </row>
    <row r="190" spans="1:6" x14ac:dyDescent="0.25">
      <c r="A190">
        <v>189</v>
      </c>
      <c r="B190" t="s">
        <v>312</v>
      </c>
      <c r="C190" t="s">
        <v>443</v>
      </c>
      <c r="D190">
        <v>48200</v>
      </c>
      <c r="E190" t="s">
        <v>38</v>
      </c>
      <c r="F190" t="s">
        <v>20</v>
      </c>
    </row>
    <row r="191" spans="1:6" x14ac:dyDescent="0.25">
      <c r="A191">
        <v>190</v>
      </c>
      <c r="B191" t="s">
        <v>49</v>
      </c>
      <c r="C191" t="s">
        <v>444</v>
      </c>
      <c r="D191">
        <v>75400</v>
      </c>
      <c r="E191" t="s">
        <v>8</v>
      </c>
      <c r="F191" t="s">
        <v>9</v>
      </c>
    </row>
    <row r="192" spans="1:6" x14ac:dyDescent="0.25">
      <c r="A192">
        <v>191</v>
      </c>
      <c r="B192" t="s">
        <v>98</v>
      </c>
      <c r="C192" t="s">
        <v>445</v>
      </c>
      <c r="D192">
        <v>30400</v>
      </c>
      <c r="E192" t="s">
        <v>38</v>
      </c>
      <c r="F192" t="s">
        <v>20</v>
      </c>
    </row>
    <row r="193" spans="1:6" x14ac:dyDescent="0.25">
      <c r="A193">
        <v>192</v>
      </c>
      <c r="B193" t="s">
        <v>218</v>
      </c>
      <c r="C193" t="s">
        <v>446</v>
      </c>
      <c r="D193">
        <v>53400</v>
      </c>
      <c r="E193" t="s">
        <v>8</v>
      </c>
      <c r="F193" t="s">
        <v>9</v>
      </c>
    </row>
    <row r="194" spans="1:6" x14ac:dyDescent="0.25">
      <c r="A194">
        <v>193</v>
      </c>
      <c r="B194" t="s">
        <v>123</v>
      </c>
      <c r="C194" t="s">
        <v>435</v>
      </c>
      <c r="D194">
        <v>41300</v>
      </c>
      <c r="E194" t="s">
        <v>38</v>
      </c>
      <c r="F194" t="s">
        <v>20</v>
      </c>
    </row>
    <row r="195" spans="1:6" x14ac:dyDescent="0.25">
      <c r="A195">
        <v>194</v>
      </c>
      <c r="B195" t="s">
        <v>172</v>
      </c>
      <c r="C195" t="s">
        <v>436</v>
      </c>
      <c r="D195">
        <v>55600</v>
      </c>
      <c r="E195" t="s">
        <v>8</v>
      </c>
      <c r="F195" t="s">
        <v>9</v>
      </c>
    </row>
    <row r="196" spans="1:6" x14ac:dyDescent="0.25">
      <c r="A196">
        <v>195</v>
      </c>
      <c r="B196" t="s">
        <v>141</v>
      </c>
      <c r="C196" t="s">
        <v>437</v>
      </c>
      <c r="D196">
        <v>24300</v>
      </c>
      <c r="E196" t="s">
        <v>23</v>
      </c>
      <c r="F196" t="s">
        <v>9</v>
      </c>
    </row>
    <row r="197" spans="1:6" x14ac:dyDescent="0.25">
      <c r="A197">
        <v>196</v>
      </c>
      <c r="B197" t="s">
        <v>42</v>
      </c>
      <c r="C197" t="s">
        <v>438</v>
      </c>
      <c r="D197">
        <v>5200</v>
      </c>
      <c r="E197" t="s">
        <v>8</v>
      </c>
      <c r="F197" t="s">
        <v>9</v>
      </c>
    </row>
    <row r="198" spans="1:6" x14ac:dyDescent="0.25">
      <c r="A198">
        <v>197</v>
      </c>
      <c r="B198" t="s">
        <v>160</v>
      </c>
      <c r="C198" t="s">
        <v>439</v>
      </c>
      <c r="D198">
        <v>63900</v>
      </c>
      <c r="E198" t="s">
        <v>8</v>
      </c>
      <c r="F198" t="s">
        <v>9</v>
      </c>
    </row>
    <row r="199" spans="1:6" x14ac:dyDescent="0.25">
      <c r="A199">
        <v>198</v>
      </c>
      <c r="B199" t="s">
        <v>372</v>
      </c>
      <c r="C199" t="s">
        <v>440</v>
      </c>
      <c r="D199">
        <v>303100</v>
      </c>
      <c r="E199" t="s">
        <v>38</v>
      </c>
      <c r="F199" t="s">
        <v>20</v>
      </c>
    </row>
    <row r="200" spans="1:6" x14ac:dyDescent="0.25">
      <c r="A200">
        <v>199</v>
      </c>
      <c r="B200" t="s">
        <v>133</v>
      </c>
      <c r="C200" t="s">
        <v>441</v>
      </c>
      <c r="D200">
        <v>63200</v>
      </c>
      <c r="E200" t="s">
        <v>23</v>
      </c>
      <c r="F200" t="s">
        <v>9</v>
      </c>
    </row>
    <row r="201" spans="1:6" x14ac:dyDescent="0.25">
      <c r="A201">
        <v>200</v>
      </c>
      <c r="B201" t="s">
        <v>370</v>
      </c>
      <c r="C201" t="s">
        <v>442</v>
      </c>
      <c r="D201">
        <v>24700</v>
      </c>
      <c r="E201" t="s">
        <v>8</v>
      </c>
      <c r="F201" t="s">
        <v>9</v>
      </c>
    </row>
    <row r="202" spans="1:6" x14ac:dyDescent="0.25">
      <c r="A202">
        <v>201</v>
      </c>
      <c r="B202" t="s">
        <v>404</v>
      </c>
      <c r="C202" t="s">
        <v>443</v>
      </c>
      <c r="D202">
        <v>42100</v>
      </c>
      <c r="E202" t="s">
        <v>8</v>
      </c>
      <c r="F202" t="s">
        <v>9</v>
      </c>
    </row>
    <row r="203" spans="1:6" x14ac:dyDescent="0.25">
      <c r="A203">
        <v>202</v>
      </c>
      <c r="B203" t="s">
        <v>292</v>
      </c>
      <c r="C203" t="s">
        <v>444</v>
      </c>
      <c r="D203">
        <v>45500</v>
      </c>
      <c r="E203" t="s">
        <v>8</v>
      </c>
      <c r="F203" t="s">
        <v>9</v>
      </c>
    </row>
    <row r="204" spans="1:6" x14ac:dyDescent="0.25">
      <c r="A204">
        <v>203</v>
      </c>
      <c r="B204" t="s">
        <v>181</v>
      </c>
      <c r="C204" t="s">
        <v>445</v>
      </c>
      <c r="D204">
        <v>14300</v>
      </c>
      <c r="E204" t="s">
        <v>23</v>
      </c>
      <c r="F204" t="s">
        <v>20</v>
      </c>
    </row>
    <row r="205" spans="1:6" x14ac:dyDescent="0.25">
      <c r="A205">
        <v>204</v>
      </c>
      <c r="B205" t="s">
        <v>290</v>
      </c>
      <c r="C205" t="s">
        <v>446</v>
      </c>
      <c r="D205">
        <v>31100</v>
      </c>
      <c r="E205" t="s">
        <v>8</v>
      </c>
      <c r="F205" t="s">
        <v>20</v>
      </c>
    </row>
    <row r="206" spans="1:6" x14ac:dyDescent="0.25">
      <c r="A206">
        <v>205</v>
      </c>
      <c r="B206" t="s">
        <v>323</v>
      </c>
      <c r="C206" t="s">
        <v>435</v>
      </c>
      <c r="D206">
        <v>52800</v>
      </c>
      <c r="E206" t="s">
        <v>8</v>
      </c>
      <c r="F206" t="s">
        <v>9</v>
      </c>
    </row>
    <row r="207" spans="1:6" x14ac:dyDescent="0.25">
      <c r="A207">
        <v>206</v>
      </c>
      <c r="B207" t="s">
        <v>179</v>
      </c>
      <c r="C207" t="s">
        <v>436</v>
      </c>
      <c r="D207">
        <v>118900</v>
      </c>
      <c r="E207" t="s">
        <v>23</v>
      </c>
      <c r="F207" t="s">
        <v>9</v>
      </c>
    </row>
    <row r="208" spans="1:6" x14ac:dyDescent="0.25">
      <c r="A208">
        <v>207</v>
      </c>
      <c r="B208" t="s">
        <v>222</v>
      </c>
      <c r="C208" t="s">
        <v>437</v>
      </c>
      <c r="D208">
        <v>24200</v>
      </c>
      <c r="E208" t="s">
        <v>38</v>
      </c>
      <c r="F208" t="s">
        <v>20</v>
      </c>
    </row>
    <row r="209" spans="1:6" x14ac:dyDescent="0.25">
      <c r="A209">
        <v>208</v>
      </c>
      <c r="B209" t="s">
        <v>161</v>
      </c>
      <c r="C209" t="s">
        <v>438</v>
      </c>
      <c r="D209">
        <v>195500</v>
      </c>
      <c r="E209" t="s">
        <v>8</v>
      </c>
      <c r="F209" t="s">
        <v>9</v>
      </c>
    </row>
    <row r="210" spans="1:6" x14ac:dyDescent="0.25">
      <c r="A210">
        <v>209</v>
      </c>
      <c r="B210" t="s">
        <v>230</v>
      </c>
      <c r="C210" t="s">
        <v>439</v>
      </c>
      <c r="D210">
        <v>39200</v>
      </c>
      <c r="E210" t="s">
        <v>8</v>
      </c>
      <c r="F210" t="s">
        <v>9</v>
      </c>
    </row>
    <row r="211" spans="1:6" x14ac:dyDescent="0.25">
      <c r="A211">
        <v>210</v>
      </c>
      <c r="B211" t="s">
        <v>329</v>
      </c>
      <c r="C211" t="s">
        <v>440</v>
      </c>
      <c r="D211">
        <v>25000</v>
      </c>
      <c r="E211" t="s">
        <v>38</v>
      </c>
      <c r="F211" t="s">
        <v>20</v>
      </c>
    </row>
    <row r="212" spans="1:6" x14ac:dyDescent="0.25">
      <c r="A212">
        <v>211</v>
      </c>
      <c r="B212" t="s">
        <v>144</v>
      </c>
      <c r="C212" t="s">
        <v>441</v>
      </c>
      <c r="D212">
        <v>39800</v>
      </c>
      <c r="E212" t="s">
        <v>8</v>
      </c>
      <c r="F212" t="s">
        <v>9</v>
      </c>
    </row>
    <row r="213" spans="1:6" x14ac:dyDescent="0.25">
      <c r="A213">
        <v>212</v>
      </c>
      <c r="B213" t="s">
        <v>291</v>
      </c>
      <c r="C213" t="s">
        <v>442</v>
      </c>
      <c r="D213">
        <v>78200</v>
      </c>
      <c r="E213" t="s">
        <v>23</v>
      </c>
      <c r="F213" t="s">
        <v>9</v>
      </c>
    </row>
    <row r="214" spans="1:6" x14ac:dyDescent="0.25">
      <c r="A214">
        <v>213</v>
      </c>
      <c r="B214" t="s">
        <v>144</v>
      </c>
      <c r="C214" t="s">
        <v>443</v>
      </c>
      <c r="D214">
        <v>72500</v>
      </c>
      <c r="E214" t="s">
        <v>8</v>
      </c>
      <c r="F214" t="s">
        <v>9</v>
      </c>
    </row>
    <row r="215" spans="1:6" x14ac:dyDescent="0.25">
      <c r="A215">
        <v>214</v>
      </c>
      <c r="B215" t="s">
        <v>127</v>
      </c>
      <c r="C215" t="s">
        <v>444</v>
      </c>
      <c r="D215">
        <v>11800</v>
      </c>
      <c r="E215" t="s">
        <v>8</v>
      </c>
      <c r="F215" t="s">
        <v>9</v>
      </c>
    </row>
    <row r="216" spans="1:6" x14ac:dyDescent="0.25">
      <c r="A216">
        <v>215</v>
      </c>
      <c r="B216" t="s">
        <v>34</v>
      </c>
      <c r="C216" t="s">
        <v>445</v>
      </c>
      <c r="D216">
        <v>65800</v>
      </c>
      <c r="E216" t="s">
        <v>8</v>
      </c>
      <c r="F216" t="s">
        <v>9</v>
      </c>
    </row>
    <row r="217" spans="1:6" x14ac:dyDescent="0.25">
      <c r="A217">
        <v>216</v>
      </c>
      <c r="B217" t="s">
        <v>292</v>
      </c>
      <c r="C217" t="s">
        <v>446</v>
      </c>
      <c r="D217">
        <v>22800</v>
      </c>
      <c r="E217" t="s">
        <v>23</v>
      </c>
      <c r="F217" t="s">
        <v>9</v>
      </c>
    </row>
    <row r="218" spans="1:6" x14ac:dyDescent="0.25">
      <c r="A218">
        <v>217</v>
      </c>
      <c r="B218" t="s">
        <v>163</v>
      </c>
      <c r="C218" t="s">
        <v>435</v>
      </c>
      <c r="D218">
        <v>63800</v>
      </c>
      <c r="E218" t="s">
        <v>8</v>
      </c>
      <c r="F218" t="s">
        <v>9</v>
      </c>
    </row>
    <row r="219" spans="1:6" x14ac:dyDescent="0.25">
      <c r="A219">
        <v>218</v>
      </c>
      <c r="B219" t="s">
        <v>147</v>
      </c>
      <c r="C219" t="s">
        <v>436</v>
      </c>
      <c r="D219">
        <v>25600</v>
      </c>
      <c r="E219" t="s">
        <v>38</v>
      </c>
      <c r="F219" t="s">
        <v>20</v>
      </c>
    </row>
    <row r="220" spans="1:6" x14ac:dyDescent="0.25">
      <c r="A220">
        <v>219</v>
      </c>
      <c r="B220" t="s">
        <v>147</v>
      </c>
      <c r="C220" t="s">
        <v>437</v>
      </c>
      <c r="D220">
        <v>19500</v>
      </c>
      <c r="E220" t="s">
        <v>8</v>
      </c>
      <c r="F220" t="s">
        <v>9</v>
      </c>
    </row>
    <row r="221" spans="1:6" x14ac:dyDescent="0.25">
      <c r="A221">
        <v>220</v>
      </c>
      <c r="B221" t="s">
        <v>103</v>
      </c>
      <c r="C221" t="s">
        <v>442</v>
      </c>
      <c r="D221">
        <v>0</v>
      </c>
      <c r="E221" t="s">
        <v>8</v>
      </c>
      <c r="F221" t="s">
        <v>9</v>
      </c>
    </row>
    <row r="222" spans="1:6" x14ac:dyDescent="0.25">
      <c r="A222">
        <v>221</v>
      </c>
      <c r="B222" t="s">
        <v>164</v>
      </c>
      <c r="C222" t="s">
        <v>439</v>
      </c>
      <c r="D222">
        <v>52900</v>
      </c>
      <c r="E222" t="s">
        <v>38</v>
      </c>
      <c r="F222" t="s">
        <v>9</v>
      </c>
    </row>
    <row r="223" spans="1:6" x14ac:dyDescent="0.25">
      <c r="A223">
        <v>222</v>
      </c>
      <c r="B223" t="s">
        <v>302</v>
      </c>
      <c r="C223" t="s">
        <v>440</v>
      </c>
      <c r="D223">
        <v>47900</v>
      </c>
      <c r="E223" t="s">
        <v>8</v>
      </c>
      <c r="F223" t="s">
        <v>9</v>
      </c>
    </row>
    <row r="224" spans="1:6" x14ac:dyDescent="0.25">
      <c r="A224">
        <v>223</v>
      </c>
      <c r="B224" t="s">
        <v>24</v>
      </c>
      <c r="C224" t="s">
        <v>441</v>
      </c>
      <c r="D224">
        <v>77300</v>
      </c>
      <c r="E224" t="s">
        <v>8</v>
      </c>
      <c r="F224" t="s">
        <v>9</v>
      </c>
    </row>
    <row r="225" spans="1:6" x14ac:dyDescent="0.25">
      <c r="A225">
        <v>224</v>
      </c>
      <c r="B225" t="s">
        <v>105</v>
      </c>
      <c r="C225" t="s">
        <v>442</v>
      </c>
      <c r="D225">
        <v>104300</v>
      </c>
      <c r="E225" t="s">
        <v>8</v>
      </c>
      <c r="F225" t="s">
        <v>9</v>
      </c>
    </row>
    <row r="226" spans="1:6" x14ac:dyDescent="0.25">
      <c r="A226">
        <v>225</v>
      </c>
      <c r="B226" t="s">
        <v>366</v>
      </c>
      <c r="C226" t="s">
        <v>443</v>
      </c>
      <c r="D226">
        <v>30100</v>
      </c>
      <c r="E226" t="s">
        <v>8</v>
      </c>
      <c r="F226" t="s">
        <v>9</v>
      </c>
    </row>
    <row r="227" spans="1:6" x14ac:dyDescent="0.25">
      <c r="A227">
        <v>226</v>
      </c>
      <c r="B227" t="s">
        <v>267</v>
      </c>
      <c r="C227" t="s">
        <v>444</v>
      </c>
      <c r="D227">
        <v>56200</v>
      </c>
      <c r="E227" t="s">
        <v>38</v>
      </c>
      <c r="F227" t="s">
        <v>20</v>
      </c>
    </row>
    <row r="228" spans="1:6" x14ac:dyDescent="0.25">
      <c r="A228">
        <v>227</v>
      </c>
      <c r="B228" t="s">
        <v>259</v>
      </c>
      <c r="C228" t="s">
        <v>445</v>
      </c>
      <c r="D228">
        <v>29500</v>
      </c>
      <c r="E228" t="s">
        <v>8</v>
      </c>
      <c r="F228" t="s">
        <v>9</v>
      </c>
    </row>
    <row r="229" spans="1:6" x14ac:dyDescent="0.25">
      <c r="A229">
        <v>228</v>
      </c>
      <c r="B229" t="s">
        <v>391</v>
      </c>
      <c r="C229" t="s">
        <v>446</v>
      </c>
      <c r="D229">
        <v>56300</v>
      </c>
      <c r="E229" t="s">
        <v>8</v>
      </c>
      <c r="F229" t="s">
        <v>9</v>
      </c>
    </row>
    <row r="230" spans="1:6" x14ac:dyDescent="0.25">
      <c r="A230">
        <v>229</v>
      </c>
      <c r="B230" t="s">
        <v>152</v>
      </c>
      <c r="C230" t="s">
        <v>435</v>
      </c>
      <c r="D230">
        <v>9600</v>
      </c>
      <c r="E230" t="s">
        <v>8</v>
      </c>
      <c r="F230" t="s">
        <v>9</v>
      </c>
    </row>
    <row r="231" spans="1:6" x14ac:dyDescent="0.25">
      <c r="A231">
        <v>230</v>
      </c>
      <c r="B231" t="s">
        <v>97</v>
      </c>
      <c r="C231" t="s">
        <v>436</v>
      </c>
      <c r="D231">
        <v>53900</v>
      </c>
      <c r="E231" t="s">
        <v>8</v>
      </c>
      <c r="F231" t="s">
        <v>9</v>
      </c>
    </row>
    <row r="232" spans="1:6" x14ac:dyDescent="0.25">
      <c r="A232">
        <v>231</v>
      </c>
      <c r="B232" t="s">
        <v>264</v>
      </c>
      <c r="C232" t="s">
        <v>437</v>
      </c>
      <c r="D232">
        <v>37200</v>
      </c>
      <c r="E232" t="s">
        <v>8</v>
      </c>
      <c r="F232" t="s">
        <v>9</v>
      </c>
    </row>
    <row r="233" spans="1:6" x14ac:dyDescent="0.25">
      <c r="A233">
        <v>232</v>
      </c>
      <c r="B233" t="s">
        <v>147</v>
      </c>
      <c r="C233" t="s">
        <v>438</v>
      </c>
      <c r="D233">
        <v>24500</v>
      </c>
      <c r="E233" t="s">
        <v>8</v>
      </c>
      <c r="F233" t="s">
        <v>9</v>
      </c>
    </row>
    <row r="234" spans="1:6" x14ac:dyDescent="0.25">
      <c r="A234">
        <v>233</v>
      </c>
      <c r="B234" t="s">
        <v>57</v>
      </c>
      <c r="C234" t="s">
        <v>439</v>
      </c>
      <c r="D234">
        <v>58500</v>
      </c>
      <c r="E234" t="s">
        <v>23</v>
      </c>
      <c r="F234" t="s">
        <v>9</v>
      </c>
    </row>
    <row r="235" spans="1:6" x14ac:dyDescent="0.25">
      <c r="A235">
        <v>234</v>
      </c>
      <c r="B235" t="s">
        <v>135</v>
      </c>
      <c r="C235" t="s">
        <v>440</v>
      </c>
      <c r="D235">
        <v>46200</v>
      </c>
      <c r="E235" t="s">
        <v>8</v>
      </c>
      <c r="F235" t="s">
        <v>9</v>
      </c>
    </row>
    <row r="236" spans="1:6" x14ac:dyDescent="0.25">
      <c r="A236">
        <v>235</v>
      </c>
      <c r="B236" t="s">
        <v>147</v>
      </c>
      <c r="C236" t="s">
        <v>441</v>
      </c>
      <c r="D236">
        <v>170300</v>
      </c>
      <c r="E236" t="s">
        <v>8</v>
      </c>
      <c r="F236" t="s">
        <v>9</v>
      </c>
    </row>
    <row r="237" spans="1:6" x14ac:dyDescent="0.25">
      <c r="A237">
        <v>236</v>
      </c>
      <c r="B237" t="s">
        <v>352</v>
      </c>
      <c r="C237" t="s">
        <v>442</v>
      </c>
      <c r="D237">
        <v>354100</v>
      </c>
      <c r="E237" t="s">
        <v>8</v>
      </c>
      <c r="F237" t="s">
        <v>9</v>
      </c>
    </row>
    <row r="238" spans="1:6" x14ac:dyDescent="0.25">
      <c r="A238">
        <v>237</v>
      </c>
      <c r="B238" t="s">
        <v>96</v>
      </c>
      <c r="C238" t="s">
        <v>443</v>
      </c>
      <c r="D238">
        <v>12000</v>
      </c>
      <c r="E238" t="s">
        <v>8</v>
      </c>
      <c r="F238" t="s">
        <v>20</v>
      </c>
    </row>
    <row r="239" spans="1:6" x14ac:dyDescent="0.25">
      <c r="A239">
        <v>238</v>
      </c>
      <c r="B239" t="s">
        <v>185</v>
      </c>
      <c r="C239" t="s">
        <v>444</v>
      </c>
      <c r="D239">
        <v>58300</v>
      </c>
      <c r="E239" t="s">
        <v>8</v>
      </c>
      <c r="F239" t="s">
        <v>9</v>
      </c>
    </row>
    <row r="240" spans="1:6" x14ac:dyDescent="0.25">
      <c r="A240">
        <v>239</v>
      </c>
      <c r="B240" t="s">
        <v>158</v>
      </c>
      <c r="C240" t="s">
        <v>445</v>
      </c>
      <c r="D240">
        <v>17200</v>
      </c>
      <c r="E240" t="s">
        <v>8</v>
      </c>
      <c r="F240" t="s">
        <v>9</v>
      </c>
    </row>
    <row r="241" spans="1:6" x14ac:dyDescent="0.25">
      <c r="A241">
        <v>240</v>
      </c>
      <c r="B241" t="s">
        <v>53</v>
      </c>
      <c r="C241" t="s">
        <v>446</v>
      </c>
      <c r="D241">
        <v>52700</v>
      </c>
      <c r="E241" t="s">
        <v>8</v>
      </c>
      <c r="F241" t="s">
        <v>9</v>
      </c>
    </row>
    <row r="242" spans="1:6" x14ac:dyDescent="0.25">
      <c r="A242">
        <v>241</v>
      </c>
      <c r="B242" t="s">
        <v>194</v>
      </c>
      <c r="C242" t="s">
        <v>435</v>
      </c>
      <c r="D242">
        <v>19600</v>
      </c>
      <c r="E242" t="s">
        <v>8</v>
      </c>
      <c r="F242" t="s">
        <v>9</v>
      </c>
    </row>
    <row r="243" spans="1:6" x14ac:dyDescent="0.25">
      <c r="A243">
        <v>242</v>
      </c>
      <c r="B243" t="s">
        <v>434</v>
      </c>
      <c r="C243" t="s">
        <v>436</v>
      </c>
      <c r="D243">
        <v>78000</v>
      </c>
      <c r="E243" t="s">
        <v>8</v>
      </c>
      <c r="F243" t="s">
        <v>9</v>
      </c>
    </row>
    <row r="244" spans="1:6" x14ac:dyDescent="0.25">
      <c r="A244">
        <v>243</v>
      </c>
      <c r="B244" t="s">
        <v>134</v>
      </c>
      <c r="C244" t="s">
        <v>437</v>
      </c>
      <c r="D244">
        <v>121500</v>
      </c>
      <c r="E244" t="s">
        <v>23</v>
      </c>
      <c r="F244" t="s">
        <v>9</v>
      </c>
    </row>
    <row r="245" spans="1:6" x14ac:dyDescent="0.25">
      <c r="A245">
        <v>244</v>
      </c>
      <c r="B245" t="s">
        <v>253</v>
      </c>
      <c r="C245" t="s">
        <v>438</v>
      </c>
      <c r="D245">
        <v>42300</v>
      </c>
      <c r="E245" t="s">
        <v>38</v>
      </c>
      <c r="F245" t="s">
        <v>9</v>
      </c>
    </row>
    <row r="246" spans="1:6" x14ac:dyDescent="0.25">
      <c r="A246">
        <v>245</v>
      </c>
      <c r="B246" t="s">
        <v>331</v>
      </c>
      <c r="C246" t="s">
        <v>439</v>
      </c>
      <c r="D246">
        <v>83300</v>
      </c>
      <c r="E246" t="s">
        <v>8</v>
      </c>
      <c r="F246" t="s">
        <v>9</v>
      </c>
    </row>
    <row r="247" spans="1:6" x14ac:dyDescent="0.25">
      <c r="A247">
        <v>246</v>
      </c>
      <c r="B247" t="s">
        <v>223</v>
      </c>
      <c r="C247" t="s">
        <v>440</v>
      </c>
      <c r="D247">
        <v>112900</v>
      </c>
      <c r="E247" t="s">
        <v>8</v>
      </c>
      <c r="F247" t="s">
        <v>20</v>
      </c>
    </row>
    <row r="248" spans="1:6" x14ac:dyDescent="0.25">
      <c r="A248">
        <v>247</v>
      </c>
      <c r="B248" t="s">
        <v>244</v>
      </c>
      <c r="C248" t="s">
        <v>441</v>
      </c>
      <c r="D248">
        <v>21000</v>
      </c>
      <c r="E248" t="s">
        <v>8</v>
      </c>
      <c r="F248" t="s">
        <v>9</v>
      </c>
    </row>
    <row r="249" spans="1:6" x14ac:dyDescent="0.25">
      <c r="A249">
        <v>248</v>
      </c>
      <c r="B249" t="s">
        <v>79</v>
      </c>
      <c r="C249" t="s">
        <v>442</v>
      </c>
      <c r="D249">
        <v>33400</v>
      </c>
      <c r="E249" t="s">
        <v>8</v>
      </c>
      <c r="F249" t="s">
        <v>9</v>
      </c>
    </row>
    <row r="250" spans="1:6" x14ac:dyDescent="0.25">
      <c r="A250">
        <v>249</v>
      </c>
      <c r="B250" t="s">
        <v>96</v>
      </c>
      <c r="C250" t="s">
        <v>443</v>
      </c>
      <c r="D250">
        <v>115900</v>
      </c>
      <c r="E250" t="s">
        <v>8</v>
      </c>
      <c r="F250" t="s">
        <v>9</v>
      </c>
    </row>
    <row r="251" spans="1:6" x14ac:dyDescent="0.25">
      <c r="A251">
        <v>250</v>
      </c>
      <c r="B251" t="s">
        <v>263</v>
      </c>
      <c r="C251" t="s">
        <v>444</v>
      </c>
      <c r="D251">
        <v>110700</v>
      </c>
      <c r="E251" t="s">
        <v>8</v>
      </c>
      <c r="F251" t="s">
        <v>9</v>
      </c>
    </row>
    <row r="252" spans="1:6" x14ac:dyDescent="0.25">
      <c r="A252">
        <v>251</v>
      </c>
      <c r="B252" t="s">
        <v>182</v>
      </c>
      <c r="C252" t="s">
        <v>445</v>
      </c>
      <c r="D252">
        <v>277300</v>
      </c>
      <c r="E252" t="s">
        <v>8</v>
      </c>
      <c r="F252" t="s">
        <v>9</v>
      </c>
    </row>
    <row r="253" spans="1:6" x14ac:dyDescent="0.25">
      <c r="A253">
        <v>252</v>
      </c>
      <c r="B253" t="s">
        <v>404</v>
      </c>
      <c r="C253" t="s">
        <v>446</v>
      </c>
      <c r="D253">
        <v>29600</v>
      </c>
      <c r="E253" t="s">
        <v>8</v>
      </c>
      <c r="F253" t="s">
        <v>9</v>
      </c>
    </row>
    <row r="254" spans="1:6" x14ac:dyDescent="0.25">
      <c r="A254">
        <v>253</v>
      </c>
      <c r="B254" t="s">
        <v>313</v>
      </c>
      <c r="C254" t="s">
        <v>435</v>
      </c>
      <c r="D254">
        <v>142100</v>
      </c>
      <c r="E254" t="s">
        <v>38</v>
      </c>
      <c r="F254" t="s">
        <v>20</v>
      </c>
    </row>
    <row r="255" spans="1:6" x14ac:dyDescent="0.25">
      <c r="A255">
        <v>254</v>
      </c>
      <c r="B255" t="s">
        <v>336</v>
      </c>
      <c r="C255" t="s">
        <v>436</v>
      </c>
      <c r="D255">
        <v>71000</v>
      </c>
      <c r="E255" t="s">
        <v>8</v>
      </c>
      <c r="F255" t="s">
        <v>20</v>
      </c>
    </row>
    <row r="256" spans="1:6" x14ac:dyDescent="0.25">
      <c r="A256">
        <v>255</v>
      </c>
      <c r="B256" t="s">
        <v>275</v>
      </c>
      <c r="C256" t="s">
        <v>437</v>
      </c>
      <c r="D256">
        <v>28000</v>
      </c>
      <c r="E256" t="s">
        <v>38</v>
      </c>
      <c r="F256" t="s">
        <v>20</v>
      </c>
    </row>
    <row r="257" spans="1:6" x14ac:dyDescent="0.25">
      <c r="A257">
        <v>256</v>
      </c>
      <c r="B257" t="s">
        <v>447</v>
      </c>
      <c r="C257" t="s">
        <v>438</v>
      </c>
      <c r="D257">
        <v>197600</v>
      </c>
      <c r="E257" t="s">
        <v>23</v>
      </c>
      <c r="F257" t="s">
        <v>9</v>
      </c>
    </row>
    <row r="258" spans="1:6" x14ac:dyDescent="0.25">
      <c r="A258">
        <v>257</v>
      </c>
      <c r="B258" t="s">
        <v>367</v>
      </c>
      <c r="C258" t="s">
        <v>439</v>
      </c>
      <c r="D258">
        <v>42600</v>
      </c>
      <c r="E258" t="s">
        <v>8</v>
      </c>
      <c r="F258" t="s">
        <v>9</v>
      </c>
    </row>
    <row r="259" spans="1:6" x14ac:dyDescent="0.25">
      <c r="A259">
        <v>258</v>
      </c>
      <c r="B259" t="s">
        <v>390</v>
      </c>
      <c r="C259" t="s">
        <v>440</v>
      </c>
      <c r="D259">
        <v>340300</v>
      </c>
      <c r="E259" t="s">
        <v>23</v>
      </c>
      <c r="F259" t="s">
        <v>9</v>
      </c>
    </row>
    <row r="260" spans="1:6" x14ac:dyDescent="0.25">
      <c r="A260">
        <v>259</v>
      </c>
      <c r="B260" t="s">
        <v>117</v>
      </c>
      <c r="C260" t="s">
        <v>441</v>
      </c>
      <c r="D260">
        <v>129500</v>
      </c>
      <c r="E260" t="s">
        <v>8</v>
      </c>
      <c r="F260" t="s">
        <v>9</v>
      </c>
    </row>
    <row r="261" spans="1:6" x14ac:dyDescent="0.25">
      <c r="A261">
        <v>260</v>
      </c>
      <c r="B261" t="s">
        <v>201</v>
      </c>
      <c r="C261" t="s">
        <v>442</v>
      </c>
      <c r="D261">
        <v>43000</v>
      </c>
      <c r="E261" t="s">
        <v>8</v>
      </c>
      <c r="F261" t="s">
        <v>9</v>
      </c>
    </row>
    <row r="262" spans="1:6" x14ac:dyDescent="0.25">
      <c r="A262">
        <v>261</v>
      </c>
      <c r="B262" t="s">
        <v>99</v>
      </c>
      <c r="C262" t="s">
        <v>443</v>
      </c>
      <c r="D262">
        <v>187800</v>
      </c>
      <c r="E262" t="s">
        <v>38</v>
      </c>
      <c r="F262" t="s">
        <v>20</v>
      </c>
    </row>
    <row r="263" spans="1:6" x14ac:dyDescent="0.25">
      <c r="A263">
        <v>262</v>
      </c>
      <c r="B263" t="s">
        <v>315</v>
      </c>
      <c r="C263" t="s">
        <v>444</v>
      </c>
      <c r="D263">
        <v>127600</v>
      </c>
      <c r="E263" t="s">
        <v>8</v>
      </c>
      <c r="F263" t="s">
        <v>9</v>
      </c>
    </row>
    <row r="264" spans="1:6" x14ac:dyDescent="0.25">
      <c r="A264">
        <v>263</v>
      </c>
      <c r="B264" t="s">
        <v>136</v>
      </c>
      <c r="C264" t="s">
        <v>445</v>
      </c>
      <c r="D264">
        <v>35000</v>
      </c>
      <c r="E264" t="s">
        <v>23</v>
      </c>
      <c r="F264" t="s">
        <v>9</v>
      </c>
    </row>
    <row r="265" spans="1:6" x14ac:dyDescent="0.25">
      <c r="A265">
        <v>264</v>
      </c>
      <c r="B265" t="s">
        <v>40</v>
      </c>
      <c r="C265" t="s">
        <v>446</v>
      </c>
      <c r="D265">
        <v>17600</v>
      </c>
      <c r="E265" t="s">
        <v>23</v>
      </c>
      <c r="F265" t="s">
        <v>20</v>
      </c>
    </row>
    <row r="266" spans="1:6" x14ac:dyDescent="0.25">
      <c r="A266">
        <v>265</v>
      </c>
      <c r="B266" t="s">
        <v>265</v>
      </c>
      <c r="C266" t="s">
        <v>435</v>
      </c>
      <c r="D266">
        <v>34200</v>
      </c>
      <c r="E266" t="s">
        <v>23</v>
      </c>
      <c r="F266" t="s">
        <v>9</v>
      </c>
    </row>
    <row r="267" spans="1:6" x14ac:dyDescent="0.25">
      <c r="A267">
        <v>266</v>
      </c>
      <c r="B267" t="s">
        <v>181</v>
      </c>
      <c r="C267" t="s">
        <v>436</v>
      </c>
      <c r="D267">
        <v>59800</v>
      </c>
      <c r="E267" t="s">
        <v>23</v>
      </c>
      <c r="F267" t="s">
        <v>9</v>
      </c>
    </row>
    <row r="268" spans="1:6" x14ac:dyDescent="0.25">
      <c r="A268">
        <v>267</v>
      </c>
      <c r="B268" t="s">
        <v>418</v>
      </c>
      <c r="C268" t="s">
        <v>437</v>
      </c>
      <c r="D268">
        <v>20900</v>
      </c>
      <c r="E268" t="s">
        <v>8</v>
      </c>
      <c r="F268" t="s">
        <v>9</v>
      </c>
    </row>
    <row r="269" spans="1:6" x14ac:dyDescent="0.25">
      <c r="A269">
        <v>268</v>
      </c>
      <c r="B269" t="s">
        <v>189</v>
      </c>
      <c r="C269" t="s">
        <v>438</v>
      </c>
      <c r="D269">
        <v>74100</v>
      </c>
      <c r="E269" t="s">
        <v>8</v>
      </c>
      <c r="F269" t="s">
        <v>20</v>
      </c>
    </row>
    <row r="270" spans="1:6" x14ac:dyDescent="0.25">
      <c r="A270">
        <v>269</v>
      </c>
      <c r="B270" t="s">
        <v>239</v>
      </c>
      <c r="C270" t="s">
        <v>439</v>
      </c>
      <c r="D270">
        <v>24500</v>
      </c>
      <c r="E270" t="s">
        <v>8</v>
      </c>
      <c r="F270" t="s">
        <v>9</v>
      </c>
    </row>
    <row r="271" spans="1:6" x14ac:dyDescent="0.25">
      <c r="A271">
        <v>270</v>
      </c>
      <c r="B271" t="s">
        <v>187</v>
      </c>
      <c r="C271" t="s">
        <v>440</v>
      </c>
      <c r="D271">
        <v>500000</v>
      </c>
      <c r="E271" t="s">
        <v>8</v>
      </c>
      <c r="F271" t="s">
        <v>9</v>
      </c>
    </row>
    <row r="272" spans="1:6" x14ac:dyDescent="0.25">
      <c r="A272">
        <v>271</v>
      </c>
      <c r="B272" t="s">
        <v>374</v>
      </c>
      <c r="C272" t="s">
        <v>441</v>
      </c>
      <c r="D272">
        <v>123900</v>
      </c>
      <c r="E272" t="s">
        <v>8</v>
      </c>
      <c r="F272" t="s">
        <v>9</v>
      </c>
    </row>
    <row r="273" spans="1:6" x14ac:dyDescent="0.25">
      <c r="A273">
        <v>272</v>
      </c>
      <c r="B273" t="s">
        <v>334</v>
      </c>
      <c r="C273" t="s">
        <v>442</v>
      </c>
      <c r="D273">
        <v>12300</v>
      </c>
      <c r="E273" t="s">
        <v>8</v>
      </c>
      <c r="F273" t="s">
        <v>20</v>
      </c>
    </row>
    <row r="274" spans="1:6" x14ac:dyDescent="0.25">
      <c r="A274">
        <v>273</v>
      </c>
      <c r="B274" t="s">
        <v>60</v>
      </c>
      <c r="C274" t="s">
        <v>443</v>
      </c>
      <c r="D274">
        <v>26600</v>
      </c>
      <c r="E274" t="s">
        <v>23</v>
      </c>
      <c r="F274" t="s">
        <v>9</v>
      </c>
    </row>
    <row r="275" spans="1:6" x14ac:dyDescent="0.25">
      <c r="A275">
        <v>274</v>
      </c>
      <c r="B275" t="s">
        <v>170</v>
      </c>
      <c r="C275" t="s">
        <v>444</v>
      </c>
      <c r="D275">
        <v>30500</v>
      </c>
      <c r="E275" t="s">
        <v>8</v>
      </c>
      <c r="F275" t="s">
        <v>20</v>
      </c>
    </row>
    <row r="276" spans="1:6" x14ac:dyDescent="0.25">
      <c r="A276">
        <v>275</v>
      </c>
      <c r="B276" t="s">
        <v>102</v>
      </c>
      <c r="C276" t="s">
        <v>445</v>
      </c>
      <c r="D276">
        <v>26900</v>
      </c>
      <c r="E276" t="s">
        <v>23</v>
      </c>
      <c r="F276" t="s">
        <v>9</v>
      </c>
    </row>
    <row r="277" spans="1:6" x14ac:dyDescent="0.25">
      <c r="A277">
        <v>276</v>
      </c>
      <c r="B277" t="s">
        <v>278</v>
      </c>
      <c r="C277" t="s">
        <v>446</v>
      </c>
      <c r="D277">
        <v>9700</v>
      </c>
      <c r="E277" t="s">
        <v>8</v>
      </c>
      <c r="F277" t="s">
        <v>9</v>
      </c>
    </row>
    <row r="278" spans="1:6" x14ac:dyDescent="0.25">
      <c r="A278">
        <v>277</v>
      </c>
      <c r="B278" t="s">
        <v>324</v>
      </c>
      <c r="C278" t="s">
        <v>435</v>
      </c>
      <c r="D278">
        <v>66200</v>
      </c>
      <c r="E278" t="s">
        <v>8</v>
      </c>
      <c r="F278" t="s">
        <v>9</v>
      </c>
    </row>
    <row r="279" spans="1:6" x14ac:dyDescent="0.25">
      <c r="A279">
        <v>278</v>
      </c>
      <c r="B279" t="s">
        <v>106</v>
      </c>
      <c r="C279" t="s">
        <v>436</v>
      </c>
      <c r="D279">
        <v>17500</v>
      </c>
      <c r="E279" t="s">
        <v>23</v>
      </c>
      <c r="F279" t="s">
        <v>9</v>
      </c>
    </row>
    <row r="280" spans="1:6" x14ac:dyDescent="0.25">
      <c r="A280">
        <v>279</v>
      </c>
      <c r="B280" t="s">
        <v>417</v>
      </c>
      <c r="C280" t="s">
        <v>437</v>
      </c>
      <c r="D280">
        <v>15800</v>
      </c>
      <c r="E280" t="s">
        <v>38</v>
      </c>
      <c r="F280" t="s">
        <v>20</v>
      </c>
    </row>
    <row r="281" spans="1:6" x14ac:dyDescent="0.25">
      <c r="A281">
        <v>280</v>
      </c>
      <c r="B281" t="s">
        <v>105</v>
      </c>
      <c r="C281" t="s">
        <v>438</v>
      </c>
      <c r="D281">
        <v>134600</v>
      </c>
      <c r="E281" t="s">
        <v>23</v>
      </c>
      <c r="F281" t="s">
        <v>20</v>
      </c>
    </row>
    <row r="282" spans="1:6" x14ac:dyDescent="0.25">
      <c r="A282">
        <v>281</v>
      </c>
      <c r="B282" t="s">
        <v>146</v>
      </c>
      <c r="C282" t="s">
        <v>439</v>
      </c>
      <c r="D282">
        <v>33700</v>
      </c>
      <c r="E282" t="s">
        <v>8</v>
      </c>
      <c r="F282" t="s">
        <v>9</v>
      </c>
    </row>
    <row r="283" spans="1:6" x14ac:dyDescent="0.25">
      <c r="A283">
        <v>282</v>
      </c>
      <c r="B283" t="s">
        <v>314</v>
      </c>
      <c r="C283" t="s">
        <v>440</v>
      </c>
      <c r="D283">
        <v>175700</v>
      </c>
      <c r="E283" t="s">
        <v>23</v>
      </c>
      <c r="F283" t="s">
        <v>9</v>
      </c>
    </row>
    <row r="284" spans="1:6" x14ac:dyDescent="0.25">
      <c r="A284">
        <v>283</v>
      </c>
      <c r="B284" t="s">
        <v>6</v>
      </c>
      <c r="C284" t="s">
        <v>441</v>
      </c>
      <c r="D284">
        <v>49600</v>
      </c>
      <c r="E284" t="s">
        <v>23</v>
      </c>
      <c r="F284" t="s">
        <v>20</v>
      </c>
    </row>
    <row r="285" spans="1:6" x14ac:dyDescent="0.25">
      <c r="A285">
        <v>284</v>
      </c>
      <c r="B285" t="s">
        <v>74</v>
      </c>
      <c r="C285" t="s">
        <v>442</v>
      </c>
      <c r="D285">
        <v>47700</v>
      </c>
      <c r="E285" t="s">
        <v>8</v>
      </c>
      <c r="F285" t="s">
        <v>20</v>
      </c>
    </row>
    <row r="286" spans="1:6" x14ac:dyDescent="0.25">
      <c r="A286">
        <v>285</v>
      </c>
      <c r="B286" t="s">
        <v>87</v>
      </c>
      <c r="C286" t="s">
        <v>443</v>
      </c>
      <c r="D286">
        <v>152400</v>
      </c>
      <c r="E286" t="s">
        <v>8</v>
      </c>
      <c r="F286" t="s">
        <v>9</v>
      </c>
    </row>
    <row r="287" spans="1:6" x14ac:dyDescent="0.25">
      <c r="A287">
        <v>286</v>
      </c>
      <c r="B287" t="s">
        <v>34</v>
      </c>
      <c r="C287" t="s">
        <v>444</v>
      </c>
      <c r="D287">
        <v>48200</v>
      </c>
      <c r="E287" t="s">
        <v>23</v>
      </c>
      <c r="F287" t="s">
        <v>9</v>
      </c>
    </row>
    <row r="288" spans="1:6" x14ac:dyDescent="0.25">
      <c r="A288">
        <v>287</v>
      </c>
      <c r="B288" t="s">
        <v>235</v>
      </c>
      <c r="C288" t="s">
        <v>445</v>
      </c>
      <c r="D288">
        <v>43600</v>
      </c>
      <c r="E288" t="s">
        <v>23</v>
      </c>
      <c r="F288" t="s">
        <v>9</v>
      </c>
    </row>
    <row r="289" spans="1:6" x14ac:dyDescent="0.25">
      <c r="A289">
        <v>288</v>
      </c>
      <c r="B289" t="s">
        <v>374</v>
      </c>
      <c r="C289" t="s">
        <v>446</v>
      </c>
      <c r="D289">
        <v>16800</v>
      </c>
      <c r="E289" t="s">
        <v>23</v>
      </c>
      <c r="F289" t="s">
        <v>9</v>
      </c>
    </row>
    <row r="290" spans="1:6" x14ac:dyDescent="0.25">
      <c r="A290">
        <v>289</v>
      </c>
      <c r="B290" t="s">
        <v>224</v>
      </c>
      <c r="C290" t="s">
        <v>435</v>
      </c>
      <c r="D290">
        <v>66300</v>
      </c>
      <c r="E290" t="s">
        <v>8</v>
      </c>
      <c r="F290" t="s">
        <v>9</v>
      </c>
    </row>
    <row r="291" spans="1:6" x14ac:dyDescent="0.25">
      <c r="A291">
        <v>290</v>
      </c>
      <c r="B291" t="s">
        <v>341</v>
      </c>
      <c r="C291" t="s">
        <v>436</v>
      </c>
      <c r="D291">
        <v>62400</v>
      </c>
      <c r="E291" t="s">
        <v>8</v>
      </c>
      <c r="F291" t="s">
        <v>9</v>
      </c>
    </row>
    <row r="292" spans="1:6" x14ac:dyDescent="0.25">
      <c r="A292">
        <v>291</v>
      </c>
      <c r="B292" t="s">
        <v>148</v>
      </c>
      <c r="C292" t="s">
        <v>437</v>
      </c>
      <c r="D292">
        <v>73700</v>
      </c>
      <c r="E292" t="s">
        <v>38</v>
      </c>
      <c r="F292" t="s">
        <v>20</v>
      </c>
    </row>
    <row r="293" spans="1:6" x14ac:dyDescent="0.25">
      <c r="A293">
        <v>292</v>
      </c>
      <c r="B293" t="s">
        <v>71</v>
      </c>
      <c r="C293" t="s">
        <v>438</v>
      </c>
      <c r="D293">
        <v>23000</v>
      </c>
      <c r="E293" t="s">
        <v>38</v>
      </c>
      <c r="F293" t="s">
        <v>20</v>
      </c>
    </row>
    <row r="294" spans="1:6" x14ac:dyDescent="0.25">
      <c r="A294">
        <v>293</v>
      </c>
      <c r="B294" t="s">
        <v>394</v>
      </c>
      <c r="C294" t="s">
        <v>439</v>
      </c>
      <c r="D294">
        <v>21800</v>
      </c>
      <c r="E294" t="s">
        <v>8</v>
      </c>
      <c r="F294" t="s">
        <v>9</v>
      </c>
    </row>
    <row r="295" spans="1:6" x14ac:dyDescent="0.25">
      <c r="A295">
        <v>294</v>
      </c>
      <c r="B295" t="s">
        <v>223</v>
      </c>
      <c r="C295" t="s">
        <v>440</v>
      </c>
      <c r="D295">
        <v>71300</v>
      </c>
      <c r="E295" t="s">
        <v>8</v>
      </c>
      <c r="F295" t="s">
        <v>9</v>
      </c>
    </row>
    <row r="296" spans="1:6" x14ac:dyDescent="0.25">
      <c r="A296">
        <v>295</v>
      </c>
      <c r="B296" t="s">
        <v>266</v>
      </c>
      <c r="C296" t="s">
        <v>441</v>
      </c>
      <c r="D296">
        <v>79300</v>
      </c>
      <c r="E296" t="s">
        <v>8</v>
      </c>
      <c r="F296" t="s">
        <v>20</v>
      </c>
    </row>
    <row r="297" spans="1:6" x14ac:dyDescent="0.25">
      <c r="A297">
        <v>296</v>
      </c>
      <c r="B297" t="s">
        <v>320</v>
      </c>
      <c r="C297" t="s">
        <v>442</v>
      </c>
      <c r="D297">
        <v>91100</v>
      </c>
      <c r="E297" t="s">
        <v>38</v>
      </c>
      <c r="F297" t="s">
        <v>9</v>
      </c>
    </row>
    <row r="298" spans="1:6" x14ac:dyDescent="0.25">
      <c r="A298">
        <v>297</v>
      </c>
      <c r="B298" t="s">
        <v>399</v>
      </c>
      <c r="C298" t="s">
        <v>443</v>
      </c>
      <c r="D298">
        <v>79900</v>
      </c>
      <c r="E298" t="s">
        <v>8</v>
      </c>
      <c r="F298" t="s">
        <v>9</v>
      </c>
    </row>
    <row r="299" spans="1:6" x14ac:dyDescent="0.25">
      <c r="A299">
        <v>298</v>
      </c>
      <c r="B299" t="s">
        <v>188</v>
      </c>
      <c r="C299" t="s">
        <v>437</v>
      </c>
      <c r="D299">
        <v>500000</v>
      </c>
      <c r="E299" t="s">
        <v>23</v>
      </c>
      <c r="F299" t="s">
        <v>9</v>
      </c>
    </row>
    <row r="300" spans="1:6" x14ac:dyDescent="0.25">
      <c r="A300">
        <v>299</v>
      </c>
      <c r="B300" t="s">
        <v>262</v>
      </c>
      <c r="C300" t="s">
        <v>445</v>
      </c>
      <c r="D300">
        <v>149400</v>
      </c>
      <c r="E300" t="s">
        <v>8</v>
      </c>
      <c r="F300" t="s">
        <v>9</v>
      </c>
    </row>
    <row r="301" spans="1:6" x14ac:dyDescent="0.25">
      <c r="A301">
        <v>300</v>
      </c>
      <c r="B301" t="s">
        <v>285</v>
      </c>
      <c r="C301" t="s">
        <v>446</v>
      </c>
      <c r="D301">
        <v>22900</v>
      </c>
      <c r="E301" t="s">
        <v>8</v>
      </c>
      <c r="F301" t="s">
        <v>9</v>
      </c>
    </row>
    <row r="302" spans="1:6" x14ac:dyDescent="0.25">
      <c r="A302">
        <v>301</v>
      </c>
      <c r="B302" t="s">
        <v>271</v>
      </c>
      <c r="C302" t="s">
        <v>435</v>
      </c>
      <c r="D302">
        <v>24900</v>
      </c>
      <c r="E302" t="s">
        <v>8</v>
      </c>
      <c r="F302" t="s">
        <v>20</v>
      </c>
    </row>
    <row r="303" spans="1:6" x14ac:dyDescent="0.25">
      <c r="A303">
        <v>302</v>
      </c>
      <c r="B303" t="s">
        <v>183</v>
      </c>
      <c r="C303" t="s">
        <v>436</v>
      </c>
      <c r="D303">
        <v>31100</v>
      </c>
      <c r="E303" t="s">
        <v>8</v>
      </c>
      <c r="F303" t="s">
        <v>20</v>
      </c>
    </row>
    <row r="304" spans="1:6" x14ac:dyDescent="0.25">
      <c r="A304">
        <v>303</v>
      </c>
      <c r="B304" t="s">
        <v>37</v>
      </c>
      <c r="C304" t="s">
        <v>437</v>
      </c>
      <c r="D304">
        <v>151200</v>
      </c>
      <c r="E304" t="s">
        <v>8</v>
      </c>
      <c r="F304" t="s">
        <v>9</v>
      </c>
    </row>
    <row r="305" spans="1:6" x14ac:dyDescent="0.25">
      <c r="A305">
        <v>304</v>
      </c>
      <c r="B305" t="s">
        <v>42</v>
      </c>
      <c r="C305" t="s">
        <v>438</v>
      </c>
      <c r="D305">
        <v>90300</v>
      </c>
      <c r="E305" t="s">
        <v>23</v>
      </c>
      <c r="F305" t="s">
        <v>9</v>
      </c>
    </row>
    <row r="306" spans="1:6" x14ac:dyDescent="0.25">
      <c r="A306">
        <v>305</v>
      </c>
      <c r="B306" t="s">
        <v>271</v>
      </c>
      <c r="C306" t="s">
        <v>439</v>
      </c>
      <c r="D306">
        <v>44100</v>
      </c>
      <c r="E306" t="s">
        <v>38</v>
      </c>
      <c r="F306" t="s">
        <v>9</v>
      </c>
    </row>
    <row r="307" spans="1:6" x14ac:dyDescent="0.25">
      <c r="A307">
        <v>306</v>
      </c>
      <c r="B307" t="s">
        <v>106</v>
      </c>
      <c r="C307" t="s">
        <v>440</v>
      </c>
      <c r="D307">
        <v>95700</v>
      </c>
      <c r="E307" t="s">
        <v>8</v>
      </c>
      <c r="F307" t="s">
        <v>9</v>
      </c>
    </row>
    <row r="308" spans="1:6" x14ac:dyDescent="0.25">
      <c r="A308">
        <v>307</v>
      </c>
      <c r="B308" t="s">
        <v>92</v>
      </c>
      <c r="C308" t="s">
        <v>436</v>
      </c>
      <c r="D308">
        <v>480000</v>
      </c>
      <c r="E308" t="s">
        <v>8</v>
      </c>
      <c r="F308" t="s">
        <v>9</v>
      </c>
    </row>
    <row r="309" spans="1:6" x14ac:dyDescent="0.25">
      <c r="A309">
        <v>308</v>
      </c>
      <c r="B309" t="s">
        <v>418</v>
      </c>
      <c r="C309" t="s">
        <v>442</v>
      </c>
      <c r="D309">
        <v>49500</v>
      </c>
      <c r="E309" t="s">
        <v>8</v>
      </c>
      <c r="F309" t="s">
        <v>9</v>
      </c>
    </row>
    <row r="310" spans="1:6" x14ac:dyDescent="0.25">
      <c r="A310">
        <v>309</v>
      </c>
      <c r="B310" t="s">
        <v>247</v>
      </c>
      <c r="C310" t="s">
        <v>443</v>
      </c>
      <c r="D310">
        <v>37500</v>
      </c>
      <c r="E310" t="s">
        <v>8</v>
      </c>
      <c r="F310" t="s">
        <v>9</v>
      </c>
    </row>
    <row r="311" spans="1:6" x14ac:dyDescent="0.25">
      <c r="A311">
        <v>310</v>
      </c>
      <c r="B311" t="s">
        <v>366</v>
      </c>
      <c r="C311" t="s">
        <v>444</v>
      </c>
      <c r="D311">
        <v>92700</v>
      </c>
      <c r="E311" t="s">
        <v>8</v>
      </c>
      <c r="F311" t="s">
        <v>9</v>
      </c>
    </row>
    <row r="312" spans="1:6" x14ac:dyDescent="0.25">
      <c r="A312">
        <v>311</v>
      </c>
      <c r="B312" t="s">
        <v>291</v>
      </c>
      <c r="C312" t="s">
        <v>445</v>
      </c>
      <c r="D312">
        <v>80400</v>
      </c>
      <c r="E312" t="s">
        <v>8</v>
      </c>
      <c r="F312" t="s">
        <v>9</v>
      </c>
    </row>
    <row r="313" spans="1:6" x14ac:dyDescent="0.25">
      <c r="A313">
        <v>312</v>
      </c>
      <c r="B313" t="s">
        <v>252</v>
      </c>
      <c r="C313" t="s">
        <v>446</v>
      </c>
      <c r="D313">
        <v>299500</v>
      </c>
      <c r="E313" t="s">
        <v>8</v>
      </c>
      <c r="F313" t="s">
        <v>20</v>
      </c>
    </row>
    <row r="314" spans="1:6" x14ac:dyDescent="0.25">
      <c r="A314">
        <v>313</v>
      </c>
      <c r="B314" t="s">
        <v>333</v>
      </c>
      <c r="C314" t="s">
        <v>435</v>
      </c>
      <c r="D314">
        <v>80300</v>
      </c>
      <c r="E314" t="s">
        <v>8</v>
      </c>
      <c r="F314" t="s">
        <v>9</v>
      </c>
    </row>
    <row r="315" spans="1:6" x14ac:dyDescent="0.25">
      <c r="A315">
        <v>314</v>
      </c>
      <c r="B315" t="s">
        <v>254</v>
      </c>
      <c r="C315" t="s">
        <v>436</v>
      </c>
      <c r="D315">
        <v>59700</v>
      </c>
      <c r="E315" t="s">
        <v>8</v>
      </c>
      <c r="F315" t="s">
        <v>9</v>
      </c>
    </row>
    <row r="316" spans="1:6" x14ac:dyDescent="0.25">
      <c r="A316">
        <v>315</v>
      </c>
      <c r="B316" t="s">
        <v>146</v>
      </c>
      <c r="C316" t="s">
        <v>437</v>
      </c>
      <c r="D316">
        <v>33600</v>
      </c>
      <c r="E316" t="s">
        <v>8</v>
      </c>
      <c r="F316" t="s">
        <v>9</v>
      </c>
    </row>
    <row r="317" spans="1:6" x14ac:dyDescent="0.25">
      <c r="A317">
        <v>316</v>
      </c>
      <c r="B317" t="s">
        <v>116</v>
      </c>
      <c r="C317" t="s">
        <v>438</v>
      </c>
      <c r="D317">
        <v>237200</v>
      </c>
      <c r="E317" t="s">
        <v>8</v>
      </c>
      <c r="F317" t="s">
        <v>20</v>
      </c>
    </row>
    <row r="318" spans="1:6" x14ac:dyDescent="0.25">
      <c r="A318">
        <v>317</v>
      </c>
      <c r="B318" t="s">
        <v>92</v>
      </c>
      <c r="C318" t="s">
        <v>439</v>
      </c>
      <c r="D318">
        <v>152400</v>
      </c>
      <c r="E318" t="s">
        <v>8</v>
      </c>
      <c r="F318" t="s">
        <v>9</v>
      </c>
    </row>
    <row r="319" spans="1:6" x14ac:dyDescent="0.25">
      <c r="A319">
        <v>318</v>
      </c>
      <c r="B319" t="s">
        <v>164</v>
      </c>
      <c r="C319" t="s">
        <v>440</v>
      </c>
      <c r="D319">
        <v>70200</v>
      </c>
      <c r="E319" t="s">
        <v>38</v>
      </c>
      <c r="F319" t="s">
        <v>20</v>
      </c>
    </row>
    <row r="320" spans="1:6" x14ac:dyDescent="0.25">
      <c r="A320">
        <v>319</v>
      </c>
      <c r="B320" t="s">
        <v>181</v>
      </c>
      <c r="C320" t="s">
        <v>441</v>
      </c>
      <c r="D320">
        <v>48100</v>
      </c>
      <c r="E320" t="s">
        <v>8</v>
      </c>
      <c r="F320" t="s">
        <v>9</v>
      </c>
    </row>
    <row r="321" spans="1:6" x14ac:dyDescent="0.25">
      <c r="A321">
        <v>320</v>
      </c>
      <c r="B321" t="s">
        <v>178</v>
      </c>
      <c r="C321" t="s">
        <v>442</v>
      </c>
      <c r="D321">
        <v>39000</v>
      </c>
      <c r="E321" t="s">
        <v>8</v>
      </c>
      <c r="F321" t="s">
        <v>9</v>
      </c>
    </row>
    <row r="322" spans="1:6" x14ac:dyDescent="0.25">
      <c r="A322">
        <v>321</v>
      </c>
      <c r="B322" t="s">
        <v>323</v>
      </c>
      <c r="C322" t="s">
        <v>441</v>
      </c>
      <c r="D322">
        <v>0</v>
      </c>
      <c r="E322" t="s">
        <v>8</v>
      </c>
      <c r="F322" t="s">
        <v>9</v>
      </c>
    </row>
    <row r="323" spans="1:6" x14ac:dyDescent="0.25">
      <c r="A323">
        <v>322</v>
      </c>
      <c r="B323" t="s">
        <v>269</v>
      </c>
      <c r="C323" t="s">
        <v>444</v>
      </c>
      <c r="D323">
        <v>18700</v>
      </c>
      <c r="E323" t="s">
        <v>8</v>
      </c>
      <c r="F323" t="s">
        <v>9</v>
      </c>
    </row>
    <row r="324" spans="1:6" x14ac:dyDescent="0.25">
      <c r="A324">
        <v>323</v>
      </c>
      <c r="B324" t="s">
        <v>114</v>
      </c>
      <c r="C324" t="s">
        <v>445</v>
      </c>
      <c r="D324">
        <v>81200</v>
      </c>
      <c r="E324" t="s">
        <v>8</v>
      </c>
      <c r="F324" t="s">
        <v>9</v>
      </c>
    </row>
    <row r="325" spans="1:6" x14ac:dyDescent="0.25">
      <c r="A325">
        <v>324</v>
      </c>
      <c r="B325" t="s">
        <v>48</v>
      </c>
      <c r="C325" t="s">
        <v>446</v>
      </c>
      <c r="D325">
        <v>34000</v>
      </c>
      <c r="E325" t="s">
        <v>8</v>
      </c>
      <c r="F325" t="s">
        <v>9</v>
      </c>
    </row>
    <row r="326" spans="1:6" x14ac:dyDescent="0.25">
      <c r="A326">
        <v>325</v>
      </c>
      <c r="B326" t="s">
        <v>87</v>
      </c>
      <c r="C326" t="s">
        <v>435</v>
      </c>
      <c r="D326">
        <v>24100</v>
      </c>
      <c r="E326" t="s">
        <v>8</v>
      </c>
      <c r="F326" t="s">
        <v>9</v>
      </c>
    </row>
    <row r="327" spans="1:6" x14ac:dyDescent="0.25">
      <c r="A327">
        <v>326</v>
      </c>
      <c r="B327" t="s">
        <v>66</v>
      </c>
      <c r="C327" t="s">
        <v>436</v>
      </c>
      <c r="D327">
        <v>11900</v>
      </c>
      <c r="E327" t="s">
        <v>8</v>
      </c>
      <c r="F327" t="s">
        <v>20</v>
      </c>
    </row>
    <row r="328" spans="1:6" x14ac:dyDescent="0.25">
      <c r="A328">
        <v>327</v>
      </c>
      <c r="B328" t="s">
        <v>176</v>
      </c>
      <c r="C328" t="s">
        <v>437</v>
      </c>
      <c r="D328">
        <v>14400</v>
      </c>
      <c r="E328" t="s">
        <v>8</v>
      </c>
      <c r="F328" t="s">
        <v>9</v>
      </c>
    </row>
    <row r="329" spans="1:6" x14ac:dyDescent="0.25">
      <c r="A329">
        <v>328</v>
      </c>
      <c r="B329" t="s">
        <v>70</v>
      </c>
      <c r="C329" t="s">
        <v>438</v>
      </c>
      <c r="D329">
        <v>31600</v>
      </c>
      <c r="E329" t="s">
        <v>38</v>
      </c>
      <c r="F329" t="s">
        <v>20</v>
      </c>
    </row>
    <row r="330" spans="1:6" x14ac:dyDescent="0.25">
      <c r="A330">
        <v>329</v>
      </c>
      <c r="B330" t="s">
        <v>110</v>
      </c>
      <c r="C330" t="s">
        <v>439</v>
      </c>
      <c r="D330">
        <v>91000</v>
      </c>
      <c r="E330" t="s">
        <v>8</v>
      </c>
      <c r="F330" t="s">
        <v>9</v>
      </c>
    </row>
    <row r="331" spans="1:6" x14ac:dyDescent="0.25">
      <c r="A331">
        <v>330</v>
      </c>
      <c r="B331" t="s">
        <v>158</v>
      </c>
      <c r="C331" t="s">
        <v>440</v>
      </c>
      <c r="D331">
        <v>358900</v>
      </c>
      <c r="E331" t="s">
        <v>8</v>
      </c>
      <c r="F331" t="s">
        <v>9</v>
      </c>
    </row>
    <row r="332" spans="1:6" x14ac:dyDescent="0.25">
      <c r="A332">
        <v>331</v>
      </c>
      <c r="B332" t="s">
        <v>240</v>
      </c>
      <c r="C332" t="s">
        <v>441</v>
      </c>
      <c r="D332">
        <v>82300</v>
      </c>
      <c r="E332" t="s">
        <v>23</v>
      </c>
      <c r="F332" t="s">
        <v>9</v>
      </c>
    </row>
    <row r="333" spans="1:6" x14ac:dyDescent="0.25">
      <c r="A333">
        <v>332</v>
      </c>
      <c r="B333" t="s">
        <v>219</v>
      </c>
      <c r="C333" t="s">
        <v>442</v>
      </c>
      <c r="D333">
        <v>36700</v>
      </c>
      <c r="E333" t="s">
        <v>8</v>
      </c>
      <c r="F333" t="s">
        <v>9</v>
      </c>
    </row>
    <row r="334" spans="1:6" x14ac:dyDescent="0.25">
      <c r="A334">
        <v>333</v>
      </c>
      <c r="B334" t="s">
        <v>6</v>
      </c>
      <c r="C334" t="s">
        <v>443</v>
      </c>
      <c r="D334">
        <v>22600</v>
      </c>
      <c r="E334" t="s">
        <v>8</v>
      </c>
      <c r="F334" t="s">
        <v>9</v>
      </c>
    </row>
    <row r="335" spans="1:6" x14ac:dyDescent="0.25">
      <c r="A335">
        <v>334</v>
      </c>
      <c r="B335" t="s">
        <v>215</v>
      </c>
      <c r="C335" t="s">
        <v>444</v>
      </c>
      <c r="D335">
        <v>38600</v>
      </c>
      <c r="E335" t="s">
        <v>8</v>
      </c>
      <c r="F335" t="s">
        <v>9</v>
      </c>
    </row>
    <row r="336" spans="1:6" x14ac:dyDescent="0.25">
      <c r="A336">
        <v>335</v>
      </c>
      <c r="B336" t="s">
        <v>234</v>
      </c>
      <c r="C336" t="s">
        <v>445</v>
      </c>
      <c r="D336">
        <v>124100</v>
      </c>
      <c r="E336" t="s">
        <v>8</v>
      </c>
      <c r="F336" t="s">
        <v>9</v>
      </c>
    </row>
    <row r="337" spans="1:6" x14ac:dyDescent="0.25">
      <c r="A337">
        <v>336</v>
      </c>
      <c r="B337" t="s">
        <v>46</v>
      </c>
      <c r="C337" t="s">
        <v>446</v>
      </c>
      <c r="D337">
        <v>22300</v>
      </c>
      <c r="E337" t="s">
        <v>8</v>
      </c>
      <c r="F337" t="s">
        <v>9</v>
      </c>
    </row>
    <row r="338" spans="1:6" x14ac:dyDescent="0.25">
      <c r="A338">
        <v>337</v>
      </c>
      <c r="B338" t="s">
        <v>357</v>
      </c>
      <c r="C338" t="s">
        <v>435</v>
      </c>
      <c r="D338">
        <v>107600</v>
      </c>
      <c r="E338" t="s">
        <v>8</v>
      </c>
      <c r="F338" t="s">
        <v>9</v>
      </c>
    </row>
    <row r="339" spans="1:6" x14ac:dyDescent="0.25">
      <c r="A339">
        <v>338</v>
      </c>
      <c r="B339" t="s">
        <v>267</v>
      </c>
      <c r="C339" t="s">
        <v>436</v>
      </c>
      <c r="D339">
        <v>89500</v>
      </c>
      <c r="E339" t="s">
        <v>8</v>
      </c>
      <c r="F339" t="s">
        <v>9</v>
      </c>
    </row>
    <row r="340" spans="1:6" x14ac:dyDescent="0.25">
      <c r="A340">
        <v>339</v>
      </c>
      <c r="B340" t="s">
        <v>228</v>
      </c>
      <c r="C340" t="s">
        <v>437</v>
      </c>
      <c r="D340">
        <v>132300</v>
      </c>
      <c r="E340" t="s">
        <v>8</v>
      </c>
      <c r="F340" t="s">
        <v>9</v>
      </c>
    </row>
    <row r="341" spans="1:6" x14ac:dyDescent="0.25">
      <c r="A341">
        <v>340</v>
      </c>
      <c r="B341" t="s">
        <v>349</v>
      </c>
      <c r="C341" t="s">
        <v>438</v>
      </c>
      <c r="D341">
        <v>93900</v>
      </c>
      <c r="E341" t="s">
        <v>8</v>
      </c>
      <c r="F341" t="s">
        <v>9</v>
      </c>
    </row>
    <row r="342" spans="1:6" x14ac:dyDescent="0.25">
      <c r="A342">
        <v>341</v>
      </c>
      <c r="B342" t="s">
        <v>417</v>
      </c>
      <c r="C342" t="s">
        <v>439</v>
      </c>
      <c r="D342">
        <v>20100</v>
      </c>
      <c r="E342" t="s">
        <v>23</v>
      </c>
      <c r="F342" t="s">
        <v>9</v>
      </c>
    </row>
    <row r="343" spans="1:6" x14ac:dyDescent="0.25">
      <c r="A343">
        <v>342</v>
      </c>
      <c r="B343" t="s">
        <v>353</v>
      </c>
      <c r="C343" t="s">
        <v>440</v>
      </c>
      <c r="D343">
        <v>95300</v>
      </c>
      <c r="E343" t="s">
        <v>8</v>
      </c>
      <c r="F343" t="s">
        <v>20</v>
      </c>
    </row>
    <row r="344" spans="1:6" x14ac:dyDescent="0.25">
      <c r="A344">
        <v>343</v>
      </c>
      <c r="B344" t="s">
        <v>110</v>
      </c>
      <c r="C344" t="s">
        <v>441</v>
      </c>
      <c r="D344">
        <v>299700</v>
      </c>
      <c r="E344" t="s">
        <v>8</v>
      </c>
      <c r="F344" t="s">
        <v>9</v>
      </c>
    </row>
    <row r="345" spans="1:6" x14ac:dyDescent="0.25">
      <c r="A345">
        <v>344</v>
      </c>
      <c r="B345" t="s">
        <v>178</v>
      </c>
      <c r="C345" t="s">
        <v>442</v>
      </c>
      <c r="D345">
        <v>36200</v>
      </c>
      <c r="E345" t="s">
        <v>8</v>
      </c>
      <c r="F345" t="s">
        <v>9</v>
      </c>
    </row>
    <row r="346" spans="1:6" x14ac:dyDescent="0.25">
      <c r="A346">
        <v>345</v>
      </c>
      <c r="B346" t="s">
        <v>149</v>
      </c>
      <c r="C346" t="s">
        <v>443</v>
      </c>
      <c r="D346">
        <v>224100</v>
      </c>
      <c r="E346" t="s">
        <v>8</v>
      </c>
      <c r="F346" t="s">
        <v>9</v>
      </c>
    </row>
    <row r="347" spans="1:6" x14ac:dyDescent="0.25">
      <c r="A347">
        <v>346</v>
      </c>
      <c r="B347" t="s">
        <v>100</v>
      </c>
      <c r="C347" t="s">
        <v>444</v>
      </c>
      <c r="D347">
        <v>206200</v>
      </c>
      <c r="E347" t="s">
        <v>8</v>
      </c>
      <c r="F347" t="s">
        <v>9</v>
      </c>
    </row>
    <row r="348" spans="1:6" x14ac:dyDescent="0.25">
      <c r="A348">
        <v>347</v>
      </c>
      <c r="B348" t="s">
        <v>351</v>
      </c>
      <c r="C348" t="s">
        <v>445</v>
      </c>
      <c r="D348">
        <v>44500</v>
      </c>
      <c r="E348" t="s">
        <v>38</v>
      </c>
      <c r="F348" t="s">
        <v>20</v>
      </c>
    </row>
    <row r="349" spans="1:6" x14ac:dyDescent="0.25">
      <c r="A349">
        <v>348</v>
      </c>
      <c r="B349" t="s">
        <v>169</v>
      </c>
      <c r="C349" t="s">
        <v>446</v>
      </c>
      <c r="D349">
        <v>14600</v>
      </c>
      <c r="E349" t="s">
        <v>8</v>
      </c>
      <c r="F349" t="s">
        <v>9</v>
      </c>
    </row>
    <row r="350" spans="1:6" x14ac:dyDescent="0.25">
      <c r="A350">
        <v>349</v>
      </c>
      <c r="B350" t="s">
        <v>447</v>
      </c>
      <c r="C350" t="s">
        <v>435</v>
      </c>
      <c r="D350">
        <v>17300</v>
      </c>
      <c r="E350" t="s">
        <v>8</v>
      </c>
      <c r="F350" t="s">
        <v>9</v>
      </c>
    </row>
    <row r="351" spans="1:6" x14ac:dyDescent="0.25">
      <c r="A351">
        <v>350</v>
      </c>
      <c r="B351" t="s">
        <v>374</v>
      </c>
      <c r="C351" t="s">
        <v>436</v>
      </c>
      <c r="D351">
        <v>92300</v>
      </c>
      <c r="E351" t="s">
        <v>8</v>
      </c>
      <c r="F351" t="s">
        <v>9</v>
      </c>
    </row>
    <row r="352" spans="1:6" x14ac:dyDescent="0.25">
      <c r="A352">
        <v>351</v>
      </c>
      <c r="B352" t="s">
        <v>156</v>
      </c>
      <c r="C352" t="s">
        <v>437</v>
      </c>
      <c r="D352">
        <v>30600</v>
      </c>
      <c r="E352" t="s">
        <v>38</v>
      </c>
      <c r="F352" t="s">
        <v>20</v>
      </c>
    </row>
    <row r="353" spans="1:6" x14ac:dyDescent="0.25">
      <c r="A353">
        <v>352</v>
      </c>
      <c r="B353" t="s">
        <v>68</v>
      </c>
      <c r="C353" t="s">
        <v>438</v>
      </c>
      <c r="D353">
        <v>23800</v>
      </c>
      <c r="E353" t="s">
        <v>8</v>
      </c>
      <c r="F353" t="s">
        <v>9</v>
      </c>
    </row>
    <row r="354" spans="1:6" x14ac:dyDescent="0.25">
      <c r="A354">
        <v>353</v>
      </c>
      <c r="B354" t="s">
        <v>399</v>
      </c>
      <c r="C354" t="s">
        <v>439</v>
      </c>
      <c r="D354">
        <v>6400</v>
      </c>
      <c r="E354" t="s">
        <v>8</v>
      </c>
      <c r="F354" t="s">
        <v>9</v>
      </c>
    </row>
    <row r="355" spans="1:6" x14ac:dyDescent="0.25">
      <c r="A355">
        <v>354</v>
      </c>
      <c r="B355" t="s">
        <v>175</v>
      </c>
      <c r="C355" t="s">
        <v>440</v>
      </c>
      <c r="D355">
        <v>35000</v>
      </c>
      <c r="E355" t="s">
        <v>8</v>
      </c>
      <c r="F355" t="s">
        <v>9</v>
      </c>
    </row>
    <row r="356" spans="1:6" x14ac:dyDescent="0.25">
      <c r="A356">
        <v>355</v>
      </c>
      <c r="B356" t="s">
        <v>225</v>
      </c>
      <c r="C356" t="s">
        <v>441</v>
      </c>
      <c r="D356">
        <v>85400</v>
      </c>
      <c r="E356" t="s">
        <v>8</v>
      </c>
      <c r="F356" t="s">
        <v>9</v>
      </c>
    </row>
    <row r="357" spans="1:6" x14ac:dyDescent="0.25">
      <c r="A357">
        <v>356</v>
      </c>
      <c r="B357" t="s">
        <v>284</v>
      </c>
      <c r="C357" t="s">
        <v>442</v>
      </c>
      <c r="D357">
        <v>74500</v>
      </c>
      <c r="E357" t="s">
        <v>8</v>
      </c>
      <c r="F357" t="s">
        <v>9</v>
      </c>
    </row>
    <row r="358" spans="1:6" x14ac:dyDescent="0.25">
      <c r="A358">
        <v>357</v>
      </c>
      <c r="B358" t="s">
        <v>292</v>
      </c>
      <c r="C358" t="s">
        <v>443</v>
      </c>
      <c r="D358">
        <v>14300</v>
      </c>
      <c r="E358" t="s">
        <v>38</v>
      </c>
      <c r="F358" t="s">
        <v>20</v>
      </c>
    </row>
    <row r="359" spans="1:6" x14ac:dyDescent="0.25">
      <c r="A359">
        <v>358</v>
      </c>
      <c r="B359" t="s">
        <v>374</v>
      </c>
      <c r="C359" t="s">
        <v>444</v>
      </c>
      <c r="D359">
        <v>69000</v>
      </c>
      <c r="E359" t="s">
        <v>38</v>
      </c>
      <c r="F359" t="s">
        <v>20</v>
      </c>
    </row>
    <row r="360" spans="1:6" x14ac:dyDescent="0.25">
      <c r="A360">
        <v>359</v>
      </c>
      <c r="B360" t="s">
        <v>404</v>
      </c>
      <c r="C360" t="s">
        <v>445</v>
      </c>
      <c r="D360">
        <v>64500</v>
      </c>
      <c r="E360" t="s">
        <v>38</v>
      </c>
      <c r="F360" t="s">
        <v>9</v>
      </c>
    </row>
    <row r="361" spans="1:6" x14ac:dyDescent="0.25">
      <c r="A361">
        <v>360</v>
      </c>
      <c r="B361" t="s">
        <v>371</v>
      </c>
      <c r="C361" t="s">
        <v>446</v>
      </c>
      <c r="D361">
        <v>17700</v>
      </c>
      <c r="E361" t="s">
        <v>8</v>
      </c>
      <c r="F361" t="s">
        <v>9</v>
      </c>
    </row>
    <row r="362" spans="1:6" x14ac:dyDescent="0.25">
      <c r="A362">
        <v>361</v>
      </c>
      <c r="B362" t="s">
        <v>355</v>
      </c>
      <c r="C362" t="s">
        <v>435</v>
      </c>
      <c r="D362">
        <v>108000</v>
      </c>
      <c r="E362" t="s">
        <v>23</v>
      </c>
      <c r="F362" t="s">
        <v>20</v>
      </c>
    </row>
    <row r="363" spans="1:6" x14ac:dyDescent="0.25">
      <c r="A363">
        <v>362</v>
      </c>
      <c r="B363" t="s">
        <v>184</v>
      </c>
      <c r="C363" t="s">
        <v>436</v>
      </c>
      <c r="D363">
        <v>47500</v>
      </c>
      <c r="E363" t="s">
        <v>38</v>
      </c>
      <c r="F363" t="s">
        <v>20</v>
      </c>
    </row>
    <row r="364" spans="1:6" x14ac:dyDescent="0.25">
      <c r="A364">
        <v>363</v>
      </c>
      <c r="B364" t="s">
        <v>70</v>
      </c>
      <c r="C364" t="s">
        <v>437</v>
      </c>
      <c r="D364">
        <v>374300</v>
      </c>
      <c r="E364" t="s">
        <v>8</v>
      </c>
      <c r="F364" t="s">
        <v>9</v>
      </c>
    </row>
    <row r="365" spans="1:6" x14ac:dyDescent="0.25">
      <c r="A365">
        <v>364</v>
      </c>
      <c r="B365" t="s">
        <v>390</v>
      </c>
      <c r="C365" t="s">
        <v>438</v>
      </c>
      <c r="D365">
        <v>52400</v>
      </c>
      <c r="E365" t="s">
        <v>23</v>
      </c>
      <c r="F365" t="s">
        <v>9</v>
      </c>
    </row>
    <row r="366" spans="1:6" x14ac:dyDescent="0.25">
      <c r="A366">
        <v>365</v>
      </c>
      <c r="B366" t="s">
        <v>78</v>
      </c>
      <c r="C366" t="s">
        <v>439</v>
      </c>
      <c r="D366">
        <v>33600</v>
      </c>
      <c r="E366" t="s">
        <v>8</v>
      </c>
      <c r="F366" t="s">
        <v>9</v>
      </c>
    </row>
    <row r="367" spans="1:6" x14ac:dyDescent="0.25">
      <c r="A367">
        <v>366</v>
      </c>
      <c r="B367" t="s">
        <v>251</v>
      </c>
      <c r="C367" t="s">
        <v>440</v>
      </c>
      <c r="D367">
        <v>66400</v>
      </c>
      <c r="E367" t="s">
        <v>8</v>
      </c>
      <c r="F367" t="s">
        <v>9</v>
      </c>
    </row>
    <row r="368" spans="1:6" x14ac:dyDescent="0.25">
      <c r="A368">
        <v>367</v>
      </c>
      <c r="B368" t="s">
        <v>330</v>
      </c>
      <c r="C368" t="s">
        <v>441</v>
      </c>
      <c r="D368">
        <v>153200</v>
      </c>
      <c r="E368" t="s">
        <v>8</v>
      </c>
      <c r="F368" t="s">
        <v>9</v>
      </c>
    </row>
    <row r="369" spans="1:6" x14ac:dyDescent="0.25">
      <c r="A369">
        <v>368</v>
      </c>
      <c r="B369" t="s">
        <v>183</v>
      </c>
      <c r="C369" t="s">
        <v>442</v>
      </c>
      <c r="D369">
        <v>160600</v>
      </c>
      <c r="E369" t="s">
        <v>38</v>
      </c>
      <c r="F369" t="s">
        <v>20</v>
      </c>
    </row>
    <row r="370" spans="1:6" x14ac:dyDescent="0.25">
      <c r="A370">
        <v>369</v>
      </c>
      <c r="B370" t="s">
        <v>45</v>
      </c>
      <c r="C370" t="s">
        <v>443</v>
      </c>
      <c r="D370">
        <v>30800</v>
      </c>
      <c r="E370" t="s">
        <v>8</v>
      </c>
      <c r="F370" t="s">
        <v>9</v>
      </c>
    </row>
    <row r="371" spans="1:6" x14ac:dyDescent="0.25">
      <c r="A371">
        <v>370</v>
      </c>
      <c r="B371" t="s">
        <v>42</v>
      </c>
      <c r="C371" t="s">
        <v>444</v>
      </c>
      <c r="D371">
        <v>489600</v>
      </c>
      <c r="E371" t="s">
        <v>23</v>
      </c>
      <c r="F371" t="s">
        <v>9</v>
      </c>
    </row>
    <row r="372" spans="1:6" x14ac:dyDescent="0.25">
      <c r="A372">
        <v>371</v>
      </c>
      <c r="B372" t="s">
        <v>86</v>
      </c>
      <c r="C372" t="s">
        <v>445</v>
      </c>
      <c r="D372">
        <v>68500</v>
      </c>
      <c r="E372" t="s">
        <v>23</v>
      </c>
      <c r="F372" t="s">
        <v>9</v>
      </c>
    </row>
    <row r="373" spans="1:6" x14ac:dyDescent="0.25">
      <c r="A373">
        <v>372</v>
      </c>
      <c r="B373" t="s">
        <v>60</v>
      </c>
      <c r="C373" t="s">
        <v>446</v>
      </c>
      <c r="D373">
        <v>50500</v>
      </c>
      <c r="E373" t="s">
        <v>8</v>
      </c>
      <c r="F373" t="s">
        <v>9</v>
      </c>
    </row>
    <row r="374" spans="1:6" x14ac:dyDescent="0.25">
      <c r="A374">
        <v>373</v>
      </c>
      <c r="B374" t="s">
        <v>320</v>
      </c>
      <c r="C374" t="s">
        <v>435</v>
      </c>
      <c r="D374">
        <v>177600</v>
      </c>
      <c r="E374" t="s">
        <v>23</v>
      </c>
      <c r="F374" t="s">
        <v>9</v>
      </c>
    </row>
    <row r="375" spans="1:6" x14ac:dyDescent="0.25">
      <c r="A375">
        <v>374</v>
      </c>
      <c r="B375" t="s">
        <v>360</v>
      </c>
      <c r="C375" t="s">
        <v>436</v>
      </c>
      <c r="D375">
        <v>63200</v>
      </c>
      <c r="E375" t="s">
        <v>8</v>
      </c>
      <c r="F375" t="s">
        <v>9</v>
      </c>
    </row>
    <row r="376" spans="1:6" x14ac:dyDescent="0.25">
      <c r="A376">
        <v>375</v>
      </c>
      <c r="B376" t="s">
        <v>81</v>
      </c>
      <c r="C376" t="s">
        <v>437</v>
      </c>
      <c r="D376">
        <v>35900</v>
      </c>
      <c r="E376" t="s">
        <v>23</v>
      </c>
      <c r="F376" t="s">
        <v>9</v>
      </c>
    </row>
    <row r="377" spans="1:6" x14ac:dyDescent="0.25">
      <c r="A377">
        <v>376</v>
      </c>
      <c r="B377" t="s">
        <v>146</v>
      </c>
      <c r="C377" t="s">
        <v>438</v>
      </c>
      <c r="D377">
        <v>38800</v>
      </c>
      <c r="E377" t="s">
        <v>8</v>
      </c>
      <c r="F377" t="s">
        <v>9</v>
      </c>
    </row>
    <row r="378" spans="1:6" x14ac:dyDescent="0.25">
      <c r="A378">
        <v>377</v>
      </c>
      <c r="B378" t="s">
        <v>107</v>
      </c>
      <c r="C378" t="s">
        <v>439</v>
      </c>
      <c r="D378">
        <v>34900</v>
      </c>
      <c r="E378" t="s">
        <v>8</v>
      </c>
      <c r="F378" t="s">
        <v>9</v>
      </c>
    </row>
    <row r="379" spans="1:6" x14ac:dyDescent="0.25">
      <c r="A379">
        <v>378</v>
      </c>
      <c r="B379" t="s">
        <v>63</v>
      </c>
      <c r="C379" t="s">
        <v>440</v>
      </c>
      <c r="D379">
        <v>0</v>
      </c>
      <c r="E379" t="s">
        <v>23</v>
      </c>
      <c r="F379" t="s">
        <v>9</v>
      </c>
    </row>
    <row r="380" spans="1:6" x14ac:dyDescent="0.25">
      <c r="A380">
        <v>379</v>
      </c>
      <c r="B380" t="s">
        <v>256</v>
      </c>
      <c r="C380" t="s">
        <v>441</v>
      </c>
      <c r="D380">
        <v>42600</v>
      </c>
      <c r="E380" t="s">
        <v>38</v>
      </c>
      <c r="F380" t="s">
        <v>20</v>
      </c>
    </row>
    <row r="381" spans="1:6" x14ac:dyDescent="0.25">
      <c r="A381">
        <v>380</v>
      </c>
      <c r="B381" t="s">
        <v>123</v>
      </c>
      <c r="C381" t="s">
        <v>442</v>
      </c>
      <c r="D381">
        <v>28100</v>
      </c>
      <c r="E381" t="s">
        <v>8</v>
      </c>
      <c r="F381" t="s">
        <v>9</v>
      </c>
    </row>
    <row r="382" spans="1:6" x14ac:dyDescent="0.25">
      <c r="A382">
        <v>381</v>
      </c>
      <c r="B382" t="s">
        <v>288</v>
      </c>
      <c r="C382" t="s">
        <v>443</v>
      </c>
      <c r="D382">
        <v>117800</v>
      </c>
      <c r="E382" t="s">
        <v>8</v>
      </c>
      <c r="F382" t="s">
        <v>9</v>
      </c>
    </row>
    <row r="383" spans="1:6" x14ac:dyDescent="0.25">
      <c r="A383">
        <v>382</v>
      </c>
      <c r="B383" t="s">
        <v>106</v>
      </c>
      <c r="C383" t="s">
        <v>444</v>
      </c>
      <c r="D383">
        <v>6800</v>
      </c>
      <c r="E383" t="s">
        <v>8</v>
      </c>
      <c r="F383" t="s">
        <v>20</v>
      </c>
    </row>
    <row r="384" spans="1:6" x14ac:dyDescent="0.25">
      <c r="A384">
        <v>383</v>
      </c>
      <c r="B384" t="s">
        <v>421</v>
      </c>
      <c r="C384" t="s">
        <v>445</v>
      </c>
      <c r="D384">
        <v>23300</v>
      </c>
      <c r="E384" t="s">
        <v>8</v>
      </c>
      <c r="F384" t="s">
        <v>20</v>
      </c>
    </row>
    <row r="385" spans="1:6" x14ac:dyDescent="0.25">
      <c r="A385">
        <v>384</v>
      </c>
      <c r="B385" t="s">
        <v>209</v>
      </c>
      <c r="C385" t="s">
        <v>446</v>
      </c>
      <c r="D385">
        <v>26400</v>
      </c>
      <c r="E385" t="s">
        <v>23</v>
      </c>
      <c r="F385" t="s">
        <v>9</v>
      </c>
    </row>
    <row r="386" spans="1:6" x14ac:dyDescent="0.25">
      <c r="A386">
        <v>385</v>
      </c>
      <c r="B386" t="s">
        <v>151</v>
      </c>
      <c r="C386" t="s">
        <v>435</v>
      </c>
      <c r="D386">
        <v>29400</v>
      </c>
      <c r="E386" t="s">
        <v>8</v>
      </c>
      <c r="F386" t="s">
        <v>9</v>
      </c>
    </row>
    <row r="387" spans="1:6" x14ac:dyDescent="0.25">
      <c r="A387">
        <v>386</v>
      </c>
      <c r="B387" t="s">
        <v>156</v>
      </c>
      <c r="C387" t="s">
        <v>436</v>
      </c>
      <c r="D387">
        <v>32700</v>
      </c>
      <c r="E387" t="s">
        <v>23</v>
      </c>
      <c r="F387" t="s">
        <v>9</v>
      </c>
    </row>
    <row r="388" spans="1:6" x14ac:dyDescent="0.25">
      <c r="A388">
        <v>387</v>
      </c>
      <c r="B388" t="s">
        <v>43</v>
      </c>
      <c r="C388" t="s">
        <v>437</v>
      </c>
      <c r="D388">
        <v>62700</v>
      </c>
      <c r="E388" t="s">
        <v>23</v>
      </c>
      <c r="F388" t="s">
        <v>9</v>
      </c>
    </row>
    <row r="389" spans="1:6" x14ac:dyDescent="0.25">
      <c r="A389">
        <v>388</v>
      </c>
      <c r="B389" t="s">
        <v>118</v>
      </c>
      <c r="C389" t="s">
        <v>438</v>
      </c>
      <c r="D389">
        <v>36800</v>
      </c>
      <c r="E389" t="s">
        <v>8</v>
      </c>
      <c r="F389" t="s">
        <v>9</v>
      </c>
    </row>
    <row r="390" spans="1:6" x14ac:dyDescent="0.25">
      <c r="A390">
        <v>389</v>
      </c>
      <c r="B390" t="s">
        <v>220</v>
      </c>
      <c r="C390" t="s">
        <v>439</v>
      </c>
      <c r="D390">
        <v>121000</v>
      </c>
      <c r="E390" t="s">
        <v>8</v>
      </c>
      <c r="F390" t="s">
        <v>9</v>
      </c>
    </row>
    <row r="391" spans="1:6" x14ac:dyDescent="0.25">
      <c r="A391">
        <v>390</v>
      </c>
      <c r="B391" t="s">
        <v>141</v>
      </c>
      <c r="C391" t="s">
        <v>440</v>
      </c>
      <c r="D391">
        <v>128000</v>
      </c>
      <c r="E391" t="s">
        <v>8</v>
      </c>
      <c r="F391" t="s">
        <v>9</v>
      </c>
    </row>
    <row r="392" spans="1:6" x14ac:dyDescent="0.25">
      <c r="A392">
        <v>391</v>
      </c>
      <c r="B392" t="s">
        <v>356</v>
      </c>
      <c r="C392" t="s">
        <v>441</v>
      </c>
      <c r="D392">
        <v>88200</v>
      </c>
      <c r="E392" t="s">
        <v>8</v>
      </c>
      <c r="F392" t="s">
        <v>9</v>
      </c>
    </row>
    <row r="393" spans="1:6" x14ac:dyDescent="0.25">
      <c r="A393">
        <v>392</v>
      </c>
      <c r="B393" t="s">
        <v>259</v>
      </c>
      <c r="C393" t="s">
        <v>442</v>
      </c>
      <c r="D393">
        <v>27500</v>
      </c>
      <c r="E393" t="s">
        <v>8</v>
      </c>
      <c r="F393" t="s">
        <v>9</v>
      </c>
    </row>
    <row r="394" spans="1:6" x14ac:dyDescent="0.25">
      <c r="A394">
        <v>393</v>
      </c>
      <c r="B394" t="s">
        <v>56</v>
      </c>
      <c r="C394" t="s">
        <v>443</v>
      </c>
      <c r="D394">
        <v>205900</v>
      </c>
      <c r="E394" t="s">
        <v>38</v>
      </c>
      <c r="F394" t="s">
        <v>9</v>
      </c>
    </row>
    <row r="395" spans="1:6" x14ac:dyDescent="0.25">
      <c r="A395">
        <v>394</v>
      </c>
      <c r="B395" t="s">
        <v>167</v>
      </c>
      <c r="C395" t="s">
        <v>444</v>
      </c>
      <c r="D395">
        <v>173700</v>
      </c>
      <c r="E395" t="s">
        <v>8</v>
      </c>
      <c r="F395" t="s">
        <v>9</v>
      </c>
    </row>
    <row r="396" spans="1:6" x14ac:dyDescent="0.25">
      <c r="A396">
        <v>395</v>
      </c>
      <c r="B396" t="s">
        <v>50</v>
      </c>
      <c r="C396" t="s">
        <v>445</v>
      </c>
      <c r="D396">
        <v>17700</v>
      </c>
      <c r="E396" t="s">
        <v>8</v>
      </c>
      <c r="F396" t="s">
        <v>9</v>
      </c>
    </row>
    <row r="397" spans="1:6" x14ac:dyDescent="0.25">
      <c r="A397">
        <v>396</v>
      </c>
      <c r="B397" t="s">
        <v>239</v>
      </c>
      <c r="C397" t="s">
        <v>446</v>
      </c>
      <c r="D397">
        <v>136000</v>
      </c>
      <c r="E397" t="s">
        <v>8</v>
      </c>
      <c r="F397" t="s">
        <v>9</v>
      </c>
    </row>
    <row r="398" spans="1:6" x14ac:dyDescent="0.25">
      <c r="A398">
        <v>397</v>
      </c>
      <c r="B398" t="s">
        <v>201</v>
      </c>
      <c r="C398" t="s">
        <v>435</v>
      </c>
      <c r="D398">
        <v>74400</v>
      </c>
      <c r="E398" t="s">
        <v>8</v>
      </c>
      <c r="F398" t="s">
        <v>9</v>
      </c>
    </row>
    <row r="399" spans="1:6" x14ac:dyDescent="0.25">
      <c r="A399">
        <v>398</v>
      </c>
      <c r="B399" t="s">
        <v>28</v>
      </c>
      <c r="C399" t="s">
        <v>436</v>
      </c>
      <c r="D399">
        <v>204000</v>
      </c>
      <c r="E399" t="s">
        <v>23</v>
      </c>
      <c r="F399" t="s">
        <v>9</v>
      </c>
    </row>
    <row r="400" spans="1:6" x14ac:dyDescent="0.25">
      <c r="A400">
        <v>399</v>
      </c>
      <c r="B400" t="s">
        <v>146</v>
      </c>
      <c r="C400" t="s">
        <v>437</v>
      </c>
      <c r="D400">
        <v>16100</v>
      </c>
      <c r="E400" t="s">
        <v>23</v>
      </c>
      <c r="F400" t="s">
        <v>9</v>
      </c>
    </row>
    <row r="401" spans="1:6" x14ac:dyDescent="0.25">
      <c r="A401">
        <v>400</v>
      </c>
      <c r="B401" t="s">
        <v>49</v>
      </c>
      <c r="C401" t="s">
        <v>438</v>
      </c>
      <c r="D401">
        <v>55800</v>
      </c>
      <c r="E401" t="s">
        <v>23</v>
      </c>
      <c r="F401" t="s">
        <v>9</v>
      </c>
    </row>
    <row r="402" spans="1:6" x14ac:dyDescent="0.25">
      <c r="A402">
        <v>401</v>
      </c>
      <c r="B402" t="s">
        <v>315</v>
      </c>
      <c r="C402" t="s">
        <v>439</v>
      </c>
      <c r="D402">
        <v>18000</v>
      </c>
      <c r="E402" t="s">
        <v>8</v>
      </c>
      <c r="F402" t="s">
        <v>9</v>
      </c>
    </row>
    <row r="403" spans="1:6" x14ac:dyDescent="0.25">
      <c r="A403">
        <v>402</v>
      </c>
      <c r="B403" t="s">
        <v>364</v>
      </c>
      <c r="C403" t="s">
        <v>440</v>
      </c>
      <c r="D403">
        <v>146300</v>
      </c>
      <c r="E403" t="s">
        <v>38</v>
      </c>
      <c r="F403" t="s">
        <v>20</v>
      </c>
    </row>
    <row r="404" spans="1:6" x14ac:dyDescent="0.25">
      <c r="A404">
        <v>403</v>
      </c>
      <c r="B404" t="s">
        <v>235</v>
      </c>
      <c r="C404" t="s">
        <v>441</v>
      </c>
      <c r="D404">
        <v>39800</v>
      </c>
      <c r="E404" t="s">
        <v>8</v>
      </c>
      <c r="F404" t="s">
        <v>9</v>
      </c>
    </row>
    <row r="405" spans="1:6" x14ac:dyDescent="0.25">
      <c r="A405">
        <v>404</v>
      </c>
      <c r="B405" t="s">
        <v>252</v>
      </c>
      <c r="C405" t="s">
        <v>442</v>
      </c>
      <c r="D405">
        <v>26600</v>
      </c>
      <c r="E405" t="s">
        <v>38</v>
      </c>
      <c r="F405" t="s">
        <v>20</v>
      </c>
    </row>
    <row r="406" spans="1:6" x14ac:dyDescent="0.25">
      <c r="A406">
        <v>405</v>
      </c>
      <c r="B406" t="s">
        <v>215</v>
      </c>
      <c r="C406" t="s">
        <v>439</v>
      </c>
      <c r="D406">
        <v>410000</v>
      </c>
      <c r="E406" t="s">
        <v>8</v>
      </c>
      <c r="F406" t="s">
        <v>9</v>
      </c>
    </row>
    <row r="407" spans="1:6" x14ac:dyDescent="0.25">
      <c r="A407">
        <v>406</v>
      </c>
      <c r="B407" t="s">
        <v>149</v>
      </c>
      <c r="C407" t="s">
        <v>444</v>
      </c>
      <c r="D407">
        <v>10600</v>
      </c>
      <c r="E407" t="s">
        <v>23</v>
      </c>
      <c r="F407" t="s">
        <v>9</v>
      </c>
    </row>
    <row r="408" spans="1:6" x14ac:dyDescent="0.25">
      <c r="A408">
        <v>407</v>
      </c>
      <c r="B408" t="s">
        <v>235</v>
      </c>
      <c r="C408" t="s">
        <v>445</v>
      </c>
      <c r="D408">
        <v>42300</v>
      </c>
      <c r="E408" t="s">
        <v>8</v>
      </c>
      <c r="F408" t="s">
        <v>9</v>
      </c>
    </row>
    <row r="409" spans="1:6" x14ac:dyDescent="0.25">
      <c r="A409">
        <v>408</v>
      </c>
      <c r="B409" t="s">
        <v>359</v>
      </c>
      <c r="C409" t="s">
        <v>446</v>
      </c>
      <c r="D409">
        <v>168800</v>
      </c>
      <c r="E409" t="s">
        <v>8</v>
      </c>
      <c r="F409" t="s">
        <v>9</v>
      </c>
    </row>
    <row r="410" spans="1:6" x14ac:dyDescent="0.25">
      <c r="A410">
        <v>409</v>
      </c>
      <c r="B410" t="s">
        <v>122</v>
      </c>
      <c r="C410" t="s">
        <v>435</v>
      </c>
      <c r="D410">
        <v>29700</v>
      </c>
      <c r="E410" t="s">
        <v>8</v>
      </c>
      <c r="F410" t="s">
        <v>9</v>
      </c>
    </row>
    <row r="411" spans="1:6" x14ac:dyDescent="0.25">
      <c r="A411">
        <v>410</v>
      </c>
      <c r="B411" t="s">
        <v>335</v>
      </c>
      <c r="C411" t="s">
        <v>436</v>
      </c>
      <c r="D411">
        <v>21300</v>
      </c>
      <c r="E411" t="s">
        <v>8</v>
      </c>
      <c r="F411" t="s">
        <v>9</v>
      </c>
    </row>
    <row r="412" spans="1:6" x14ac:dyDescent="0.25">
      <c r="A412">
        <v>411</v>
      </c>
      <c r="B412" t="s">
        <v>316</v>
      </c>
      <c r="C412" t="s">
        <v>437</v>
      </c>
      <c r="D412">
        <v>51400</v>
      </c>
      <c r="E412" t="s">
        <v>8</v>
      </c>
      <c r="F412" t="s">
        <v>9</v>
      </c>
    </row>
    <row r="413" spans="1:6" x14ac:dyDescent="0.25">
      <c r="A413">
        <v>412</v>
      </c>
      <c r="B413" t="s">
        <v>104</v>
      </c>
      <c r="C413" t="s">
        <v>438</v>
      </c>
      <c r="D413">
        <v>92300</v>
      </c>
      <c r="E413" t="s">
        <v>8</v>
      </c>
      <c r="F413" t="s">
        <v>9</v>
      </c>
    </row>
    <row r="414" spans="1:6" x14ac:dyDescent="0.25">
      <c r="A414">
        <v>413</v>
      </c>
      <c r="B414" t="s">
        <v>40</v>
      </c>
      <c r="C414" t="s">
        <v>439</v>
      </c>
      <c r="D414">
        <v>37900</v>
      </c>
      <c r="E414" t="s">
        <v>8</v>
      </c>
      <c r="F414" t="s">
        <v>9</v>
      </c>
    </row>
    <row r="415" spans="1:6" x14ac:dyDescent="0.25">
      <c r="A415">
        <v>414</v>
      </c>
      <c r="B415" t="s">
        <v>151</v>
      </c>
      <c r="C415" t="s">
        <v>440</v>
      </c>
      <c r="D415">
        <v>63300</v>
      </c>
      <c r="E415" t="s">
        <v>8</v>
      </c>
      <c r="F415" t="s">
        <v>9</v>
      </c>
    </row>
    <row r="416" spans="1:6" x14ac:dyDescent="0.25">
      <c r="A416">
        <v>415</v>
      </c>
      <c r="B416" t="s">
        <v>353</v>
      </c>
      <c r="C416" t="s">
        <v>441</v>
      </c>
      <c r="D416">
        <v>91900</v>
      </c>
      <c r="E416" t="s">
        <v>8</v>
      </c>
      <c r="F416" t="s">
        <v>9</v>
      </c>
    </row>
    <row r="417" spans="1:6" x14ac:dyDescent="0.25">
      <c r="A417">
        <v>416</v>
      </c>
      <c r="B417" t="s">
        <v>342</v>
      </c>
      <c r="C417" t="s">
        <v>442</v>
      </c>
      <c r="D417">
        <v>26100</v>
      </c>
      <c r="E417" t="s">
        <v>8</v>
      </c>
      <c r="F417" t="s">
        <v>9</v>
      </c>
    </row>
    <row r="418" spans="1:6" x14ac:dyDescent="0.25">
      <c r="A418">
        <v>417</v>
      </c>
      <c r="B418" t="s">
        <v>91</v>
      </c>
      <c r="C418" t="s">
        <v>443</v>
      </c>
      <c r="D418">
        <v>15200</v>
      </c>
      <c r="E418" t="s">
        <v>23</v>
      </c>
      <c r="F418" t="s">
        <v>9</v>
      </c>
    </row>
    <row r="419" spans="1:6" x14ac:dyDescent="0.25">
      <c r="A419">
        <v>418</v>
      </c>
      <c r="B419" t="s">
        <v>161</v>
      </c>
      <c r="C419" t="s">
        <v>444</v>
      </c>
      <c r="D419">
        <v>95300</v>
      </c>
      <c r="E419" t="s">
        <v>8</v>
      </c>
      <c r="F419" t="s">
        <v>9</v>
      </c>
    </row>
    <row r="420" spans="1:6" x14ac:dyDescent="0.25">
      <c r="A420">
        <v>419</v>
      </c>
      <c r="B420" t="s">
        <v>366</v>
      </c>
      <c r="C420" t="s">
        <v>445</v>
      </c>
      <c r="D420">
        <v>65300</v>
      </c>
      <c r="E420" t="s">
        <v>8</v>
      </c>
      <c r="F420" t="s">
        <v>9</v>
      </c>
    </row>
    <row r="421" spans="1:6" x14ac:dyDescent="0.25">
      <c r="A421">
        <v>420</v>
      </c>
      <c r="B421" t="s">
        <v>36</v>
      </c>
      <c r="C421" t="s">
        <v>446</v>
      </c>
      <c r="D421">
        <v>30000</v>
      </c>
      <c r="E421" t="s">
        <v>8</v>
      </c>
      <c r="F421" t="s">
        <v>9</v>
      </c>
    </row>
    <row r="422" spans="1:6" x14ac:dyDescent="0.25">
      <c r="A422">
        <v>421</v>
      </c>
      <c r="B422" t="s">
        <v>160</v>
      </c>
      <c r="C422" t="s">
        <v>435</v>
      </c>
      <c r="D422">
        <v>44700</v>
      </c>
      <c r="E422" t="s">
        <v>8</v>
      </c>
      <c r="F422" t="s">
        <v>9</v>
      </c>
    </row>
    <row r="423" spans="1:6" x14ac:dyDescent="0.25">
      <c r="A423">
        <v>422</v>
      </c>
      <c r="B423" t="s">
        <v>218</v>
      </c>
      <c r="C423" t="s">
        <v>436</v>
      </c>
      <c r="D423">
        <v>33900</v>
      </c>
      <c r="E423" t="s">
        <v>8</v>
      </c>
      <c r="F423" t="s">
        <v>9</v>
      </c>
    </row>
    <row r="424" spans="1:6" x14ac:dyDescent="0.25">
      <c r="A424">
        <v>423</v>
      </c>
      <c r="B424" t="s">
        <v>317</v>
      </c>
      <c r="C424" t="s">
        <v>437</v>
      </c>
      <c r="D424">
        <v>53500</v>
      </c>
      <c r="E424" t="s">
        <v>8</v>
      </c>
      <c r="F424" t="s">
        <v>9</v>
      </c>
    </row>
    <row r="425" spans="1:6" x14ac:dyDescent="0.25">
      <c r="A425">
        <v>424</v>
      </c>
      <c r="B425" t="s">
        <v>255</v>
      </c>
      <c r="C425" t="s">
        <v>438</v>
      </c>
      <c r="D425">
        <v>19900</v>
      </c>
      <c r="E425" t="s">
        <v>8</v>
      </c>
      <c r="F425" t="s">
        <v>20</v>
      </c>
    </row>
    <row r="426" spans="1:6" x14ac:dyDescent="0.25">
      <c r="A426">
        <v>425</v>
      </c>
      <c r="B426" t="s">
        <v>49</v>
      </c>
      <c r="C426" t="s">
        <v>439</v>
      </c>
      <c r="D426">
        <v>232000</v>
      </c>
      <c r="E426" t="s">
        <v>8</v>
      </c>
      <c r="F426" t="s">
        <v>9</v>
      </c>
    </row>
    <row r="427" spans="1:6" x14ac:dyDescent="0.25">
      <c r="A427">
        <v>426</v>
      </c>
      <c r="B427" t="s">
        <v>211</v>
      </c>
      <c r="C427" t="s">
        <v>440</v>
      </c>
      <c r="D427">
        <v>69600</v>
      </c>
      <c r="E427" t="s">
        <v>8</v>
      </c>
      <c r="F427" t="s">
        <v>9</v>
      </c>
    </row>
    <row r="428" spans="1:6" x14ac:dyDescent="0.25">
      <c r="A428">
        <v>427</v>
      </c>
      <c r="B428" t="s">
        <v>420</v>
      </c>
      <c r="C428" t="s">
        <v>441</v>
      </c>
      <c r="D428">
        <v>41100</v>
      </c>
      <c r="E428" t="s">
        <v>8</v>
      </c>
      <c r="F428" t="s">
        <v>9</v>
      </c>
    </row>
    <row r="429" spans="1:6" x14ac:dyDescent="0.25">
      <c r="A429">
        <v>428</v>
      </c>
      <c r="B429" t="s">
        <v>71</v>
      </c>
      <c r="C429" t="s">
        <v>442</v>
      </c>
      <c r="D429">
        <v>165600</v>
      </c>
      <c r="E429" t="s">
        <v>8</v>
      </c>
      <c r="F429" t="s">
        <v>9</v>
      </c>
    </row>
    <row r="430" spans="1:6" x14ac:dyDescent="0.25">
      <c r="A430">
        <v>429</v>
      </c>
      <c r="B430" t="s">
        <v>267</v>
      </c>
      <c r="C430" t="s">
        <v>443</v>
      </c>
      <c r="D430">
        <v>17500</v>
      </c>
      <c r="E430" t="s">
        <v>38</v>
      </c>
      <c r="F430" t="s">
        <v>20</v>
      </c>
    </row>
    <row r="431" spans="1:6" x14ac:dyDescent="0.25">
      <c r="A431">
        <v>430</v>
      </c>
      <c r="B431" t="s">
        <v>389</v>
      </c>
      <c r="C431" t="s">
        <v>444</v>
      </c>
      <c r="D431">
        <v>131200</v>
      </c>
      <c r="E431" t="s">
        <v>8</v>
      </c>
      <c r="F431" t="s">
        <v>9</v>
      </c>
    </row>
    <row r="432" spans="1:6" x14ac:dyDescent="0.25">
      <c r="A432">
        <v>431</v>
      </c>
      <c r="B432" t="s">
        <v>81</v>
      </c>
      <c r="C432" t="s">
        <v>445</v>
      </c>
      <c r="D432">
        <v>214000</v>
      </c>
      <c r="E432" t="s">
        <v>8</v>
      </c>
      <c r="F432" t="s">
        <v>9</v>
      </c>
    </row>
    <row r="433" spans="1:6" x14ac:dyDescent="0.25">
      <c r="A433">
        <v>432</v>
      </c>
      <c r="B433" t="s">
        <v>315</v>
      </c>
      <c r="C433" t="s">
        <v>446</v>
      </c>
      <c r="D433">
        <v>128100</v>
      </c>
      <c r="E433" t="s">
        <v>8</v>
      </c>
      <c r="F433" t="s">
        <v>20</v>
      </c>
    </row>
    <row r="434" spans="1:6" x14ac:dyDescent="0.25">
      <c r="A434">
        <v>433</v>
      </c>
      <c r="B434" t="s">
        <v>63</v>
      </c>
      <c r="C434" t="s">
        <v>435</v>
      </c>
      <c r="D434">
        <v>66600</v>
      </c>
      <c r="E434" t="s">
        <v>23</v>
      </c>
      <c r="F434" t="s">
        <v>9</v>
      </c>
    </row>
    <row r="435" spans="1:6" x14ac:dyDescent="0.25">
      <c r="A435">
        <v>434</v>
      </c>
      <c r="B435" t="s">
        <v>232</v>
      </c>
      <c r="C435" t="s">
        <v>436</v>
      </c>
      <c r="D435">
        <v>33800</v>
      </c>
      <c r="E435" t="s">
        <v>8</v>
      </c>
      <c r="F435" t="s">
        <v>9</v>
      </c>
    </row>
    <row r="436" spans="1:6" x14ac:dyDescent="0.25">
      <c r="A436">
        <v>435</v>
      </c>
      <c r="B436" t="s">
        <v>347</v>
      </c>
      <c r="C436" t="s">
        <v>437</v>
      </c>
      <c r="D436">
        <v>32400</v>
      </c>
      <c r="E436" t="s">
        <v>8</v>
      </c>
      <c r="F436" t="s">
        <v>9</v>
      </c>
    </row>
    <row r="437" spans="1:6" x14ac:dyDescent="0.25">
      <c r="A437">
        <v>436</v>
      </c>
      <c r="B437" t="s">
        <v>335</v>
      </c>
      <c r="C437" t="s">
        <v>438</v>
      </c>
      <c r="D437">
        <v>65200</v>
      </c>
      <c r="E437" t="s">
        <v>8</v>
      </c>
      <c r="F437" t="s">
        <v>9</v>
      </c>
    </row>
    <row r="438" spans="1:6" x14ac:dyDescent="0.25">
      <c r="A438">
        <v>437</v>
      </c>
      <c r="B438" t="s">
        <v>115</v>
      </c>
      <c r="C438" t="s">
        <v>439</v>
      </c>
      <c r="D438">
        <v>174500</v>
      </c>
      <c r="E438" t="s">
        <v>8</v>
      </c>
      <c r="F438" t="s">
        <v>9</v>
      </c>
    </row>
    <row r="439" spans="1:6" x14ac:dyDescent="0.25">
      <c r="A439">
        <v>438</v>
      </c>
      <c r="B439" t="s">
        <v>235</v>
      </c>
      <c r="C439" t="s">
        <v>440</v>
      </c>
      <c r="D439">
        <v>72000</v>
      </c>
      <c r="E439" t="s">
        <v>8</v>
      </c>
      <c r="F439" t="s">
        <v>9</v>
      </c>
    </row>
    <row r="440" spans="1:6" x14ac:dyDescent="0.25">
      <c r="A440">
        <v>439</v>
      </c>
      <c r="B440" t="s">
        <v>106</v>
      </c>
      <c r="C440" t="s">
        <v>441</v>
      </c>
      <c r="D440">
        <v>44400</v>
      </c>
      <c r="E440" t="s">
        <v>8</v>
      </c>
      <c r="F440" t="s">
        <v>9</v>
      </c>
    </row>
    <row r="441" spans="1:6" x14ac:dyDescent="0.25">
      <c r="A441">
        <v>440</v>
      </c>
      <c r="B441" t="s">
        <v>353</v>
      </c>
      <c r="C441" t="s">
        <v>442</v>
      </c>
      <c r="D441">
        <v>58600</v>
      </c>
      <c r="E441" t="s">
        <v>23</v>
      </c>
      <c r="F441" t="s">
        <v>9</v>
      </c>
    </row>
    <row r="442" spans="1:6" x14ac:dyDescent="0.25">
      <c r="A442">
        <v>441</v>
      </c>
      <c r="B442" t="s">
        <v>316</v>
      </c>
      <c r="C442" t="s">
        <v>443</v>
      </c>
      <c r="D442">
        <v>80000</v>
      </c>
      <c r="E442" t="s">
        <v>8</v>
      </c>
      <c r="F442" t="s">
        <v>9</v>
      </c>
    </row>
    <row r="443" spans="1:6" x14ac:dyDescent="0.25">
      <c r="A443">
        <v>442</v>
      </c>
      <c r="B443" t="s">
        <v>129</v>
      </c>
      <c r="C443" t="s">
        <v>444</v>
      </c>
      <c r="D443">
        <v>146000</v>
      </c>
      <c r="E443" t="s">
        <v>8</v>
      </c>
      <c r="F443" t="s">
        <v>9</v>
      </c>
    </row>
    <row r="444" spans="1:6" x14ac:dyDescent="0.25">
      <c r="A444">
        <v>443</v>
      </c>
      <c r="B444" t="s">
        <v>186</v>
      </c>
      <c r="C444" t="s">
        <v>445</v>
      </c>
      <c r="D444">
        <v>176000</v>
      </c>
      <c r="E444" t="s">
        <v>23</v>
      </c>
      <c r="F444" t="s">
        <v>20</v>
      </c>
    </row>
    <row r="445" spans="1:6" x14ac:dyDescent="0.25">
      <c r="A445">
        <v>444</v>
      </c>
      <c r="B445" t="s">
        <v>12</v>
      </c>
      <c r="C445" t="s">
        <v>446</v>
      </c>
      <c r="D445">
        <v>20300</v>
      </c>
      <c r="E445" t="s">
        <v>23</v>
      </c>
      <c r="F445" t="s">
        <v>9</v>
      </c>
    </row>
    <row r="446" spans="1:6" x14ac:dyDescent="0.25">
      <c r="A446">
        <v>445</v>
      </c>
      <c r="B446" t="s">
        <v>194</v>
      </c>
      <c r="C446" t="s">
        <v>435</v>
      </c>
      <c r="D446">
        <v>79800</v>
      </c>
      <c r="E446" t="s">
        <v>8</v>
      </c>
      <c r="F446" t="s">
        <v>9</v>
      </c>
    </row>
    <row r="447" spans="1:6" x14ac:dyDescent="0.25">
      <c r="A447">
        <v>446</v>
      </c>
      <c r="B447" t="s">
        <v>154</v>
      </c>
      <c r="C447" t="s">
        <v>436</v>
      </c>
      <c r="D447">
        <v>73900</v>
      </c>
      <c r="E447" t="s">
        <v>23</v>
      </c>
      <c r="F447" t="s">
        <v>9</v>
      </c>
    </row>
    <row r="448" spans="1:6" x14ac:dyDescent="0.25">
      <c r="A448">
        <v>447</v>
      </c>
      <c r="B448" t="s">
        <v>237</v>
      </c>
      <c r="C448" t="s">
        <v>437</v>
      </c>
      <c r="D448">
        <v>111400</v>
      </c>
      <c r="E448" t="s">
        <v>38</v>
      </c>
      <c r="F448" t="s">
        <v>9</v>
      </c>
    </row>
    <row r="449" spans="1:6" x14ac:dyDescent="0.25">
      <c r="A449">
        <v>448</v>
      </c>
      <c r="B449" t="s">
        <v>30</v>
      </c>
      <c r="C449" t="s">
        <v>438</v>
      </c>
      <c r="D449">
        <v>32200</v>
      </c>
      <c r="E449" t="s">
        <v>23</v>
      </c>
      <c r="F449" t="s">
        <v>9</v>
      </c>
    </row>
    <row r="450" spans="1:6" x14ac:dyDescent="0.25">
      <c r="A450">
        <v>449</v>
      </c>
      <c r="B450" t="s">
        <v>282</v>
      </c>
      <c r="C450" t="s">
        <v>439</v>
      </c>
      <c r="D450">
        <v>130100</v>
      </c>
      <c r="E450" t="s">
        <v>8</v>
      </c>
      <c r="F450" t="s">
        <v>9</v>
      </c>
    </row>
    <row r="451" spans="1:6" x14ac:dyDescent="0.25">
      <c r="A451">
        <v>450</v>
      </c>
      <c r="B451" t="s">
        <v>175</v>
      </c>
      <c r="C451" t="s">
        <v>440</v>
      </c>
      <c r="D451">
        <v>36600</v>
      </c>
      <c r="E451" t="s">
        <v>8</v>
      </c>
      <c r="F451" t="s">
        <v>9</v>
      </c>
    </row>
    <row r="452" spans="1:6" x14ac:dyDescent="0.25">
      <c r="A452">
        <v>451</v>
      </c>
      <c r="B452" t="s">
        <v>39</v>
      </c>
      <c r="C452" t="s">
        <v>441</v>
      </c>
      <c r="D452">
        <v>70400</v>
      </c>
      <c r="E452" t="s">
        <v>38</v>
      </c>
      <c r="F452" t="s">
        <v>9</v>
      </c>
    </row>
    <row r="453" spans="1:6" x14ac:dyDescent="0.25">
      <c r="A453">
        <v>452</v>
      </c>
      <c r="B453" t="s">
        <v>76</v>
      </c>
      <c r="C453" t="s">
        <v>442</v>
      </c>
      <c r="D453">
        <v>211200</v>
      </c>
      <c r="E453" t="s">
        <v>8</v>
      </c>
      <c r="F453" t="s">
        <v>9</v>
      </c>
    </row>
    <row r="454" spans="1:6" x14ac:dyDescent="0.25">
      <c r="A454">
        <v>453</v>
      </c>
      <c r="B454" t="s">
        <v>400</v>
      </c>
      <c r="C454" t="s">
        <v>443</v>
      </c>
      <c r="D454">
        <v>27200</v>
      </c>
      <c r="E454" t="s">
        <v>8</v>
      </c>
      <c r="F454" t="s">
        <v>9</v>
      </c>
    </row>
    <row r="455" spans="1:6" x14ac:dyDescent="0.25">
      <c r="A455">
        <v>454</v>
      </c>
      <c r="B455" t="s">
        <v>180</v>
      </c>
      <c r="C455" t="s">
        <v>444</v>
      </c>
      <c r="D455">
        <v>44600</v>
      </c>
      <c r="E455" t="s">
        <v>8</v>
      </c>
      <c r="F455" t="s">
        <v>20</v>
      </c>
    </row>
    <row r="456" spans="1:6" x14ac:dyDescent="0.25">
      <c r="A456">
        <v>455</v>
      </c>
      <c r="B456" t="s">
        <v>65</v>
      </c>
      <c r="C456" t="s">
        <v>445</v>
      </c>
      <c r="D456">
        <v>33600</v>
      </c>
      <c r="E456" t="s">
        <v>8</v>
      </c>
      <c r="F456" t="s">
        <v>9</v>
      </c>
    </row>
    <row r="457" spans="1:6" x14ac:dyDescent="0.25">
      <c r="A457">
        <v>456</v>
      </c>
      <c r="B457" t="s">
        <v>187</v>
      </c>
      <c r="C457" t="s">
        <v>446</v>
      </c>
      <c r="D457">
        <v>36300</v>
      </c>
      <c r="E457" t="s">
        <v>8</v>
      </c>
      <c r="F457" t="s">
        <v>9</v>
      </c>
    </row>
    <row r="458" spans="1:6" x14ac:dyDescent="0.25">
      <c r="A458">
        <v>457</v>
      </c>
      <c r="B458" t="s">
        <v>155</v>
      </c>
      <c r="C458" t="s">
        <v>435</v>
      </c>
      <c r="D458">
        <v>16800</v>
      </c>
      <c r="E458" t="s">
        <v>38</v>
      </c>
      <c r="F458" t="s">
        <v>20</v>
      </c>
    </row>
    <row r="459" spans="1:6" x14ac:dyDescent="0.25">
      <c r="A459">
        <v>458</v>
      </c>
      <c r="B459" t="s">
        <v>62</v>
      </c>
      <c r="C459" t="s">
        <v>436</v>
      </c>
      <c r="D459">
        <v>10400</v>
      </c>
      <c r="E459" t="s">
        <v>38</v>
      </c>
      <c r="F459" t="s">
        <v>20</v>
      </c>
    </row>
    <row r="460" spans="1:6" x14ac:dyDescent="0.25">
      <c r="A460">
        <v>459</v>
      </c>
      <c r="B460" t="s">
        <v>160</v>
      </c>
      <c r="C460" t="s">
        <v>437</v>
      </c>
      <c r="D460">
        <v>34100</v>
      </c>
      <c r="E460" t="s">
        <v>8</v>
      </c>
      <c r="F460" t="s">
        <v>9</v>
      </c>
    </row>
    <row r="461" spans="1:6" x14ac:dyDescent="0.25">
      <c r="A461">
        <v>460</v>
      </c>
      <c r="B461" t="s">
        <v>133</v>
      </c>
      <c r="C461" t="s">
        <v>438</v>
      </c>
      <c r="D461">
        <v>81000</v>
      </c>
      <c r="E461" t="s">
        <v>8</v>
      </c>
      <c r="F461" t="s">
        <v>20</v>
      </c>
    </row>
    <row r="462" spans="1:6" x14ac:dyDescent="0.25">
      <c r="A462">
        <v>461</v>
      </c>
      <c r="B462" t="s">
        <v>60</v>
      </c>
      <c r="C462" t="s">
        <v>439</v>
      </c>
      <c r="D462">
        <v>48200</v>
      </c>
      <c r="E462" t="s">
        <v>8</v>
      </c>
      <c r="F462" t="s">
        <v>9</v>
      </c>
    </row>
    <row r="463" spans="1:6" x14ac:dyDescent="0.25">
      <c r="A463">
        <v>462</v>
      </c>
      <c r="B463" t="s">
        <v>374</v>
      </c>
      <c r="C463" t="s">
        <v>440</v>
      </c>
      <c r="D463">
        <v>157500</v>
      </c>
      <c r="E463" t="s">
        <v>8</v>
      </c>
      <c r="F463" t="s">
        <v>9</v>
      </c>
    </row>
    <row r="464" spans="1:6" x14ac:dyDescent="0.25">
      <c r="A464">
        <v>463</v>
      </c>
      <c r="B464" t="s">
        <v>51</v>
      </c>
      <c r="C464" t="s">
        <v>441</v>
      </c>
      <c r="D464">
        <v>220300</v>
      </c>
      <c r="E464" t="s">
        <v>8</v>
      </c>
      <c r="F464" t="s">
        <v>20</v>
      </c>
    </row>
    <row r="465" spans="1:6" x14ac:dyDescent="0.25">
      <c r="A465">
        <v>464</v>
      </c>
      <c r="B465" t="s">
        <v>215</v>
      </c>
      <c r="C465" t="s">
        <v>442</v>
      </c>
      <c r="D465">
        <v>154800</v>
      </c>
      <c r="E465" t="s">
        <v>8</v>
      </c>
      <c r="F465" t="s">
        <v>9</v>
      </c>
    </row>
    <row r="466" spans="1:6" x14ac:dyDescent="0.25">
      <c r="A466">
        <v>465</v>
      </c>
      <c r="B466" t="s">
        <v>324</v>
      </c>
      <c r="C466" t="s">
        <v>443</v>
      </c>
      <c r="D466">
        <v>78100</v>
      </c>
      <c r="E466" t="s">
        <v>8</v>
      </c>
      <c r="F466" t="s">
        <v>20</v>
      </c>
    </row>
    <row r="467" spans="1:6" x14ac:dyDescent="0.25">
      <c r="A467">
        <v>466</v>
      </c>
      <c r="B467" t="s">
        <v>237</v>
      </c>
      <c r="C467" t="s">
        <v>444</v>
      </c>
      <c r="D467">
        <v>34000</v>
      </c>
      <c r="E467" t="s">
        <v>8</v>
      </c>
      <c r="F467" t="s">
        <v>9</v>
      </c>
    </row>
    <row r="468" spans="1:6" x14ac:dyDescent="0.25">
      <c r="A468">
        <v>467</v>
      </c>
      <c r="B468" t="s">
        <v>175</v>
      </c>
      <c r="C468" t="s">
        <v>445</v>
      </c>
      <c r="D468">
        <v>52400</v>
      </c>
      <c r="E468" t="s">
        <v>8</v>
      </c>
      <c r="F468" t="s">
        <v>9</v>
      </c>
    </row>
    <row r="469" spans="1:6" x14ac:dyDescent="0.25">
      <c r="A469">
        <v>468</v>
      </c>
      <c r="B469" t="s">
        <v>106</v>
      </c>
      <c r="C469" t="s">
        <v>446</v>
      </c>
      <c r="D469">
        <v>131400</v>
      </c>
      <c r="E469" t="s">
        <v>38</v>
      </c>
      <c r="F469" t="s">
        <v>20</v>
      </c>
    </row>
    <row r="470" spans="1:6" x14ac:dyDescent="0.25">
      <c r="A470">
        <v>469</v>
      </c>
      <c r="B470" t="s">
        <v>82</v>
      </c>
      <c r="C470" t="s">
        <v>435</v>
      </c>
      <c r="D470">
        <v>22700</v>
      </c>
      <c r="E470" t="s">
        <v>8</v>
      </c>
      <c r="F470" t="s">
        <v>9</v>
      </c>
    </row>
    <row r="471" spans="1:6" x14ac:dyDescent="0.25">
      <c r="A471">
        <v>470</v>
      </c>
      <c r="B471" t="s">
        <v>312</v>
      </c>
      <c r="C471" t="s">
        <v>436</v>
      </c>
      <c r="D471">
        <v>8200</v>
      </c>
      <c r="E471" t="s">
        <v>23</v>
      </c>
      <c r="F471" t="s">
        <v>9</v>
      </c>
    </row>
    <row r="472" spans="1:6" x14ac:dyDescent="0.25">
      <c r="A472">
        <v>471</v>
      </c>
      <c r="B472" t="s">
        <v>66</v>
      </c>
      <c r="C472" t="s">
        <v>437</v>
      </c>
      <c r="D472">
        <v>44500</v>
      </c>
      <c r="E472" t="s">
        <v>23</v>
      </c>
      <c r="F472" t="s">
        <v>9</v>
      </c>
    </row>
    <row r="473" spans="1:6" x14ac:dyDescent="0.25">
      <c r="A473">
        <v>472</v>
      </c>
      <c r="B473" t="s">
        <v>168</v>
      </c>
      <c r="C473" t="s">
        <v>438</v>
      </c>
      <c r="D473">
        <v>15700</v>
      </c>
      <c r="E473" t="s">
        <v>8</v>
      </c>
      <c r="F473" t="s">
        <v>9</v>
      </c>
    </row>
    <row r="474" spans="1:6" x14ac:dyDescent="0.25">
      <c r="A474">
        <v>473</v>
      </c>
      <c r="B474" t="s">
        <v>340</v>
      </c>
      <c r="C474" t="s">
        <v>439</v>
      </c>
      <c r="D474">
        <v>17900</v>
      </c>
      <c r="E474" t="s">
        <v>23</v>
      </c>
      <c r="F474" t="s">
        <v>9</v>
      </c>
    </row>
    <row r="475" spans="1:6" x14ac:dyDescent="0.25">
      <c r="A475">
        <v>474</v>
      </c>
      <c r="B475" t="s">
        <v>327</v>
      </c>
      <c r="C475" t="s">
        <v>440</v>
      </c>
      <c r="D475">
        <v>91400</v>
      </c>
      <c r="E475" t="s">
        <v>8</v>
      </c>
      <c r="F475" t="s">
        <v>9</v>
      </c>
    </row>
    <row r="476" spans="1:6" x14ac:dyDescent="0.25">
      <c r="A476">
        <v>475</v>
      </c>
      <c r="B476" t="s">
        <v>351</v>
      </c>
      <c r="C476" t="s">
        <v>441</v>
      </c>
      <c r="D476">
        <v>61800</v>
      </c>
      <c r="E476" t="s">
        <v>23</v>
      </c>
      <c r="F476" t="s">
        <v>9</v>
      </c>
    </row>
    <row r="477" spans="1:6" x14ac:dyDescent="0.25">
      <c r="A477">
        <v>476</v>
      </c>
      <c r="B477" t="s">
        <v>201</v>
      </c>
      <c r="C477" t="s">
        <v>442</v>
      </c>
      <c r="D477">
        <v>131900</v>
      </c>
      <c r="E477" t="s">
        <v>8</v>
      </c>
      <c r="F477" t="s">
        <v>9</v>
      </c>
    </row>
    <row r="478" spans="1:6" x14ac:dyDescent="0.25">
      <c r="A478">
        <v>477</v>
      </c>
      <c r="B478" t="s">
        <v>65</v>
      </c>
      <c r="C478" t="s">
        <v>443</v>
      </c>
      <c r="D478">
        <v>22200</v>
      </c>
      <c r="E478" t="s">
        <v>8</v>
      </c>
      <c r="F478" t="s">
        <v>9</v>
      </c>
    </row>
    <row r="479" spans="1:6" x14ac:dyDescent="0.25">
      <c r="A479">
        <v>478</v>
      </c>
      <c r="B479" t="s">
        <v>289</v>
      </c>
      <c r="C479" t="s">
        <v>444</v>
      </c>
      <c r="D479">
        <v>91000</v>
      </c>
      <c r="E479" t="s">
        <v>8</v>
      </c>
      <c r="F479" t="s">
        <v>9</v>
      </c>
    </row>
    <row r="480" spans="1:6" x14ac:dyDescent="0.25">
      <c r="A480">
        <v>479</v>
      </c>
      <c r="B480" t="s">
        <v>334</v>
      </c>
      <c r="C480" t="s">
        <v>445</v>
      </c>
      <c r="D480">
        <v>18200</v>
      </c>
      <c r="E480" t="s">
        <v>38</v>
      </c>
      <c r="F480" t="s">
        <v>20</v>
      </c>
    </row>
    <row r="481" spans="1:6" x14ac:dyDescent="0.25">
      <c r="A481">
        <v>480</v>
      </c>
      <c r="B481" t="s">
        <v>136</v>
      </c>
      <c r="C481" t="s">
        <v>446</v>
      </c>
      <c r="D481">
        <v>48100</v>
      </c>
      <c r="E481" t="s">
        <v>23</v>
      </c>
      <c r="F481" t="s">
        <v>9</v>
      </c>
    </row>
    <row r="482" spans="1:6" x14ac:dyDescent="0.25">
      <c r="A482">
        <v>481</v>
      </c>
      <c r="B482" t="s">
        <v>92</v>
      </c>
      <c r="C482" t="s">
        <v>435</v>
      </c>
      <c r="D482">
        <v>22100</v>
      </c>
      <c r="E482" t="s">
        <v>8</v>
      </c>
      <c r="F482" t="s">
        <v>9</v>
      </c>
    </row>
    <row r="483" spans="1:6" x14ac:dyDescent="0.25">
      <c r="A483">
        <v>482</v>
      </c>
      <c r="B483" t="s">
        <v>77</v>
      </c>
      <c r="C483" t="s">
        <v>436</v>
      </c>
      <c r="D483">
        <v>58400</v>
      </c>
      <c r="E483" t="s">
        <v>23</v>
      </c>
      <c r="F483" t="s">
        <v>9</v>
      </c>
    </row>
    <row r="484" spans="1:6" x14ac:dyDescent="0.25">
      <c r="A484">
        <v>483</v>
      </c>
      <c r="B484" t="s">
        <v>238</v>
      </c>
      <c r="C484" t="s">
        <v>437</v>
      </c>
      <c r="D484">
        <v>41500</v>
      </c>
      <c r="E484" t="s">
        <v>8</v>
      </c>
      <c r="F484" t="s">
        <v>9</v>
      </c>
    </row>
    <row r="485" spans="1:6" x14ac:dyDescent="0.25">
      <c r="A485">
        <v>484</v>
      </c>
      <c r="B485" t="s">
        <v>212</v>
      </c>
      <c r="C485" t="s">
        <v>438</v>
      </c>
      <c r="D485">
        <v>82100</v>
      </c>
      <c r="E485" t="s">
        <v>8</v>
      </c>
      <c r="F485" t="s">
        <v>9</v>
      </c>
    </row>
    <row r="486" spans="1:6" x14ac:dyDescent="0.25">
      <c r="A486">
        <v>485</v>
      </c>
      <c r="B486" t="s">
        <v>144</v>
      </c>
      <c r="C486" t="s">
        <v>439</v>
      </c>
      <c r="D486">
        <v>106800</v>
      </c>
      <c r="E486" t="s">
        <v>8</v>
      </c>
      <c r="F486" t="s">
        <v>9</v>
      </c>
    </row>
    <row r="487" spans="1:6" x14ac:dyDescent="0.25">
      <c r="A487">
        <v>486</v>
      </c>
      <c r="B487" t="s">
        <v>195</v>
      </c>
      <c r="C487" t="s">
        <v>440</v>
      </c>
      <c r="D487">
        <v>16700</v>
      </c>
      <c r="E487" t="s">
        <v>8</v>
      </c>
      <c r="F487" t="s">
        <v>9</v>
      </c>
    </row>
    <row r="488" spans="1:6" x14ac:dyDescent="0.25">
      <c r="A488">
        <v>487</v>
      </c>
      <c r="B488" t="s">
        <v>191</v>
      </c>
      <c r="C488" t="s">
        <v>441</v>
      </c>
      <c r="D488">
        <v>465000</v>
      </c>
      <c r="E488" t="s">
        <v>8</v>
      </c>
      <c r="F488" t="s">
        <v>9</v>
      </c>
    </row>
    <row r="489" spans="1:6" x14ac:dyDescent="0.25">
      <c r="A489">
        <v>488</v>
      </c>
      <c r="B489" t="s">
        <v>198</v>
      </c>
      <c r="C489" t="s">
        <v>442</v>
      </c>
      <c r="D489">
        <v>66200</v>
      </c>
      <c r="E489" t="s">
        <v>23</v>
      </c>
      <c r="F489" t="s">
        <v>9</v>
      </c>
    </row>
    <row r="490" spans="1:6" x14ac:dyDescent="0.25">
      <c r="A490">
        <v>489</v>
      </c>
      <c r="B490" t="s">
        <v>245</v>
      </c>
      <c r="C490" t="s">
        <v>443</v>
      </c>
      <c r="D490">
        <v>9700</v>
      </c>
      <c r="E490" t="s">
        <v>8</v>
      </c>
      <c r="F490" t="s">
        <v>9</v>
      </c>
    </row>
    <row r="491" spans="1:6" x14ac:dyDescent="0.25">
      <c r="A491">
        <v>490</v>
      </c>
      <c r="B491" t="s">
        <v>158</v>
      </c>
      <c r="C491" t="s">
        <v>444</v>
      </c>
      <c r="D491">
        <v>192200</v>
      </c>
      <c r="E491" t="s">
        <v>8</v>
      </c>
      <c r="F491" t="s">
        <v>9</v>
      </c>
    </row>
    <row r="492" spans="1:6" x14ac:dyDescent="0.25">
      <c r="A492">
        <v>491</v>
      </c>
      <c r="B492" t="s">
        <v>35</v>
      </c>
      <c r="C492" t="s">
        <v>445</v>
      </c>
      <c r="D492">
        <v>21400</v>
      </c>
      <c r="E492" t="s">
        <v>23</v>
      </c>
      <c r="F492" t="s">
        <v>9</v>
      </c>
    </row>
    <row r="493" spans="1:6" x14ac:dyDescent="0.25">
      <c r="A493">
        <v>492</v>
      </c>
      <c r="B493" t="s">
        <v>332</v>
      </c>
      <c r="C493" t="s">
        <v>446</v>
      </c>
      <c r="D493">
        <v>397300</v>
      </c>
      <c r="E493" t="s">
        <v>8</v>
      </c>
      <c r="F493" t="s">
        <v>20</v>
      </c>
    </row>
    <row r="494" spans="1:6" x14ac:dyDescent="0.25">
      <c r="A494">
        <v>493</v>
      </c>
      <c r="B494" t="s">
        <v>129</v>
      </c>
      <c r="C494" t="s">
        <v>435</v>
      </c>
      <c r="D494">
        <v>23900</v>
      </c>
      <c r="E494" t="s">
        <v>38</v>
      </c>
      <c r="F494" t="s">
        <v>20</v>
      </c>
    </row>
    <row r="495" spans="1:6" x14ac:dyDescent="0.25">
      <c r="A495">
        <v>494</v>
      </c>
      <c r="B495" t="s">
        <v>337</v>
      </c>
      <c r="C495" t="s">
        <v>436</v>
      </c>
      <c r="D495">
        <v>34700</v>
      </c>
      <c r="E495" t="s">
        <v>8</v>
      </c>
      <c r="F495" t="s">
        <v>9</v>
      </c>
    </row>
    <row r="496" spans="1:6" x14ac:dyDescent="0.25">
      <c r="A496">
        <v>495</v>
      </c>
      <c r="B496" t="s">
        <v>360</v>
      </c>
      <c r="C496" t="s">
        <v>437</v>
      </c>
      <c r="D496">
        <v>298900</v>
      </c>
      <c r="E496" t="s">
        <v>8</v>
      </c>
      <c r="F496" t="s">
        <v>9</v>
      </c>
    </row>
    <row r="497" spans="1:6" x14ac:dyDescent="0.25">
      <c r="A497">
        <v>496</v>
      </c>
      <c r="B497" t="s">
        <v>117</v>
      </c>
      <c r="C497" t="s">
        <v>438</v>
      </c>
      <c r="D497">
        <v>23900</v>
      </c>
      <c r="E497" t="s">
        <v>38</v>
      </c>
      <c r="F497" t="s">
        <v>9</v>
      </c>
    </row>
    <row r="498" spans="1:6" x14ac:dyDescent="0.25">
      <c r="A498">
        <v>497</v>
      </c>
      <c r="B498" t="s">
        <v>398</v>
      </c>
      <c r="C498" t="s">
        <v>439</v>
      </c>
      <c r="D498">
        <v>36600</v>
      </c>
      <c r="E498" t="s">
        <v>38</v>
      </c>
      <c r="F498" t="s">
        <v>20</v>
      </c>
    </row>
    <row r="499" spans="1:6" x14ac:dyDescent="0.25">
      <c r="A499">
        <v>498</v>
      </c>
      <c r="B499" t="s">
        <v>55</v>
      </c>
      <c r="C499" t="s">
        <v>440</v>
      </c>
      <c r="D499">
        <v>28600</v>
      </c>
      <c r="E499" t="s">
        <v>8</v>
      </c>
      <c r="F499" t="s">
        <v>9</v>
      </c>
    </row>
    <row r="500" spans="1:6" x14ac:dyDescent="0.25">
      <c r="A500">
        <v>499</v>
      </c>
      <c r="B500" t="s">
        <v>393</v>
      </c>
      <c r="C500" t="s">
        <v>441</v>
      </c>
      <c r="D500">
        <v>67900</v>
      </c>
      <c r="E500" t="s">
        <v>8</v>
      </c>
      <c r="F500" t="s">
        <v>9</v>
      </c>
    </row>
    <row r="501" spans="1:6" x14ac:dyDescent="0.25">
      <c r="A501">
        <v>500</v>
      </c>
      <c r="B501" t="s">
        <v>257</v>
      </c>
      <c r="C501" t="s">
        <v>442</v>
      </c>
      <c r="D501">
        <v>103000</v>
      </c>
      <c r="E501" t="s">
        <v>8</v>
      </c>
      <c r="F501" t="s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48</v>
      </c>
      <c r="C2" t="s">
        <v>448</v>
      </c>
      <c r="D2">
        <v>8200</v>
      </c>
      <c r="E2" t="s">
        <v>8</v>
      </c>
      <c r="F2" t="s">
        <v>9</v>
      </c>
    </row>
    <row r="3" spans="1:6" x14ac:dyDescent="0.25">
      <c r="A3">
        <v>2</v>
      </c>
      <c r="B3" t="s">
        <v>186</v>
      </c>
      <c r="C3" t="s">
        <v>449</v>
      </c>
      <c r="D3">
        <v>6900</v>
      </c>
      <c r="E3" t="s">
        <v>8</v>
      </c>
      <c r="F3" t="s">
        <v>9</v>
      </c>
    </row>
    <row r="4" spans="1:6" x14ac:dyDescent="0.25">
      <c r="A4">
        <v>3</v>
      </c>
      <c r="B4" t="s">
        <v>158</v>
      </c>
      <c r="C4" t="s">
        <v>450</v>
      </c>
      <c r="D4">
        <v>23100</v>
      </c>
      <c r="E4" t="s">
        <v>8</v>
      </c>
      <c r="F4" t="s">
        <v>9</v>
      </c>
    </row>
    <row r="5" spans="1:6" x14ac:dyDescent="0.25">
      <c r="A5">
        <v>4</v>
      </c>
      <c r="B5" t="s">
        <v>188</v>
      </c>
      <c r="C5" t="s">
        <v>451</v>
      </c>
      <c r="D5">
        <v>41600</v>
      </c>
      <c r="E5" t="s">
        <v>8</v>
      </c>
      <c r="F5" t="s">
        <v>20</v>
      </c>
    </row>
    <row r="6" spans="1:6" x14ac:dyDescent="0.25">
      <c r="A6">
        <v>5</v>
      </c>
      <c r="B6" t="s">
        <v>336</v>
      </c>
      <c r="C6" t="s">
        <v>452</v>
      </c>
      <c r="D6">
        <v>32700</v>
      </c>
      <c r="E6" t="s">
        <v>8</v>
      </c>
      <c r="F6" t="s">
        <v>20</v>
      </c>
    </row>
    <row r="7" spans="1:6" x14ac:dyDescent="0.25">
      <c r="A7">
        <v>6</v>
      </c>
      <c r="B7" t="s">
        <v>188</v>
      </c>
      <c r="C7" t="s">
        <v>453</v>
      </c>
      <c r="D7">
        <v>25700</v>
      </c>
      <c r="E7" t="s">
        <v>8</v>
      </c>
      <c r="F7" t="s">
        <v>9</v>
      </c>
    </row>
    <row r="8" spans="1:6" x14ac:dyDescent="0.25">
      <c r="A8">
        <v>7</v>
      </c>
      <c r="B8" t="s">
        <v>195</v>
      </c>
      <c r="C8" t="s">
        <v>454</v>
      </c>
      <c r="D8">
        <v>6700</v>
      </c>
      <c r="E8" t="s">
        <v>8</v>
      </c>
      <c r="F8" t="s">
        <v>9</v>
      </c>
    </row>
    <row r="9" spans="1:6" x14ac:dyDescent="0.25">
      <c r="A9">
        <v>8</v>
      </c>
      <c r="B9" t="s">
        <v>83</v>
      </c>
      <c r="C9" t="s">
        <v>455</v>
      </c>
      <c r="D9">
        <v>67800</v>
      </c>
      <c r="E9" t="s">
        <v>38</v>
      </c>
      <c r="F9" t="s">
        <v>9</v>
      </c>
    </row>
    <row r="10" spans="1:6" x14ac:dyDescent="0.25">
      <c r="A10">
        <v>9</v>
      </c>
      <c r="B10" t="s">
        <v>401</v>
      </c>
      <c r="C10" t="s">
        <v>456</v>
      </c>
      <c r="D10">
        <v>5000</v>
      </c>
      <c r="E10" t="s">
        <v>8</v>
      </c>
      <c r="F10" t="s">
        <v>9</v>
      </c>
    </row>
    <row r="11" spans="1:6" x14ac:dyDescent="0.25">
      <c r="A11">
        <v>10</v>
      </c>
      <c r="B11" t="s">
        <v>233</v>
      </c>
      <c r="C11" t="s">
        <v>457</v>
      </c>
      <c r="D11">
        <v>11300</v>
      </c>
      <c r="E11" t="s">
        <v>8</v>
      </c>
      <c r="F11" t="s">
        <v>9</v>
      </c>
    </row>
    <row r="12" spans="1:6" x14ac:dyDescent="0.25">
      <c r="A12">
        <v>11</v>
      </c>
      <c r="B12" t="s">
        <v>244</v>
      </c>
      <c r="C12" t="s">
        <v>458</v>
      </c>
      <c r="D12">
        <v>12400</v>
      </c>
      <c r="E12" t="s">
        <v>8</v>
      </c>
      <c r="F12" t="s">
        <v>9</v>
      </c>
    </row>
    <row r="13" spans="1:6" x14ac:dyDescent="0.25">
      <c r="A13">
        <v>12</v>
      </c>
      <c r="B13" t="s">
        <v>91</v>
      </c>
      <c r="C13" t="s">
        <v>459</v>
      </c>
      <c r="D13">
        <v>113900</v>
      </c>
      <c r="E13" t="s">
        <v>23</v>
      </c>
      <c r="F13" t="s">
        <v>9</v>
      </c>
    </row>
    <row r="14" spans="1:6" x14ac:dyDescent="0.25">
      <c r="A14">
        <v>13</v>
      </c>
      <c r="B14" t="s">
        <v>142</v>
      </c>
      <c r="C14" t="s">
        <v>448</v>
      </c>
      <c r="D14">
        <v>34500</v>
      </c>
      <c r="E14" t="s">
        <v>8</v>
      </c>
      <c r="F14" t="s">
        <v>9</v>
      </c>
    </row>
    <row r="15" spans="1:6" x14ac:dyDescent="0.25">
      <c r="A15">
        <v>14</v>
      </c>
      <c r="B15" t="s">
        <v>447</v>
      </c>
      <c r="C15" t="s">
        <v>449</v>
      </c>
      <c r="D15">
        <v>30700</v>
      </c>
      <c r="E15" t="s">
        <v>8</v>
      </c>
      <c r="F15" t="s">
        <v>9</v>
      </c>
    </row>
    <row r="16" spans="1:6" x14ac:dyDescent="0.25">
      <c r="A16">
        <v>15</v>
      </c>
      <c r="B16" t="s">
        <v>64</v>
      </c>
      <c r="C16" t="s">
        <v>450</v>
      </c>
      <c r="D16">
        <v>108600</v>
      </c>
      <c r="E16" t="s">
        <v>23</v>
      </c>
      <c r="F16" t="s">
        <v>9</v>
      </c>
    </row>
    <row r="17" spans="1:6" x14ac:dyDescent="0.25">
      <c r="A17">
        <v>16</v>
      </c>
      <c r="B17" t="s">
        <v>139</v>
      </c>
      <c r="C17" t="s">
        <v>451</v>
      </c>
      <c r="D17">
        <v>73100</v>
      </c>
      <c r="E17" t="s">
        <v>8</v>
      </c>
      <c r="F17" t="s">
        <v>9</v>
      </c>
    </row>
    <row r="18" spans="1:6" x14ac:dyDescent="0.25">
      <c r="A18">
        <v>17</v>
      </c>
      <c r="B18" t="s">
        <v>367</v>
      </c>
      <c r="C18" t="s">
        <v>452</v>
      </c>
      <c r="D18">
        <v>37400</v>
      </c>
      <c r="E18" t="s">
        <v>8</v>
      </c>
      <c r="F18" t="s">
        <v>9</v>
      </c>
    </row>
    <row r="19" spans="1:6" x14ac:dyDescent="0.25">
      <c r="A19">
        <v>18</v>
      </c>
      <c r="B19" t="s">
        <v>168</v>
      </c>
      <c r="C19" t="s">
        <v>453</v>
      </c>
      <c r="D19">
        <v>10000</v>
      </c>
      <c r="E19" t="s">
        <v>8</v>
      </c>
      <c r="F19" t="s">
        <v>9</v>
      </c>
    </row>
    <row r="20" spans="1:6" x14ac:dyDescent="0.25">
      <c r="A20">
        <v>19</v>
      </c>
      <c r="B20" t="s">
        <v>82</v>
      </c>
      <c r="C20" t="s">
        <v>454</v>
      </c>
      <c r="D20">
        <v>34400</v>
      </c>
      <c r="E20" t="s">
        <v>38</v>
      </c>
      <c r="F20" t="s">
        <v>20</v>
      </c>
    </row>
    <row r="21" spans="1:6" x14ac:dyDescent="0.25">
      <c r="A21">
        <v>20</v>
      </c>
      <c r="B21" t="s">
        <v>66</v>
      </c>
      <c r="C21" t="s">
        <v>455</v>
      </c>
      <c r="D21">
        <v>5000</v>
      </c>
      <c r="E21" t="s">
        <v>8</v>
      </c>
      <c r="F21" t="s">
        <v>9</v>
      </c>
    </row>
    <row r="22" spans="1:6" x14ac:dyDescent="0.25">
      <c r="A22">
        <v>21</v>
      </c>
      <c r="B22" t="s">
        <v>178</v>
      </c>
      <c r="C22" t="s">
        <v>456</v>
      </c>
      <c r="D22">
        <v>19200</v>
      </c>
      <c r="E22" t="s">
        <v>8</v>
      </c>
      <c r="F22" t="s">
        <v>9</v>
      </c>
    </row>
    <row r="23" spans="1:6" x14ac:dyDescent="0.25">
      <c r="A23">
        <v>22</v>
      </c>
      <c r="B23" t="s">
        <v>357</v>
      </c>
      <c r="C23" t="s">
        <v>457</v>
      </c>
      <c r="D23">
        <v>19100</v>
      </c>
      <c r="E23" t="s">
        <v>8</v>
      </c>
      <c r="F23" t="s">
        <v>9</v>
      </c>
    </row>
    <row r="24" spans="1:6" x14ac:dyDescent="0.25">
      <c r="A24">
        <v>23</v>
      </c>
      <c r="B24" t="s">
        <v>98</v>
      </c>
      <c r="C24" t="s">
        <v>455</v>
      </c>
      <c r="D24">
        <v>0</v>
      </c>
      <c r="E24" t="s">
        <v>8</v>
      </c>
      <c r="F24" t="s">
        <v>9</v>
      </c>
    </row>
    <row r="25" spans="1:6" x14ac:dyDescent="0.25">
      <c r="A25">
        <v>24</v>
      </c>
      <c r="B25" t="s">
        <v>394</v>
      </c>
      <c r="C25" t="s">
        <v>459</v>
      </c>
      <c r="D25">
        <v>16800</v>
      </c>
      <c r="E25" t="s">
        <v>8</v>
      </c>
      <c r="F25" t="s">
        <v>9</v>
      </c>
    </row>
    <row r="26" spans="1:6" x14ac:dyDescent="0.25">
      <c r="A26">
        <v>25</v>
      </c>
      <c r="B26" t="s">
        <v>227</v>
      </c>
      <c r="C26" t="s">
        <v>448</v>
      </c>
      <c r="D26">
        <v>8100</v>
      </c>
      <c r="E26" t="s">
        <v>8</v>
      </c>
      <c r="F26" t="s">
        <v>9</v>
      </c>
    </row>
    <row r="27" spans="1:6" x14ac:dyDescent="0.25">
      <c r="A27">
        <v>26</v>
      </c>
      <c r="B27" t="s">
        <v>335</v>
      </c>
      <c r="C27" t="s">
        <v>449</v>
      </c>
      <c r="D27">
        <v>18400</v>
      </c>
      <c r="E27" t="s">
        <v>8</v>
      </c>
      <c r="F27" t="s">
        <v>20</v>
      </c>
    </row>
    <row r="28" spans="1:6" x14ac:dyDescent="0.25">
      <c r="A28">
        <v>27</v>
      </c>
      <c r="B28" t="s">
        <v>398</v>
      </c>
      <c r="C28" t="s">
        <v>450</v>
      </c>
      <c r="D28">
        <v>21000</v>
      </c>
      <c r="E28" t="s">
        <v>8</v>
      </c>
      <c r="F28" t="s">
        <v>9</v>
      </c>
    </row>
    <row r="29" spans="1:6" x14ac:dyDescent="0.25">
      <c r="A29">
        <v>28</v>
      </c>
      <c r="B29" t="s">
        <v>368</v>
      </c>
      <c r="C29" t="s">
        <v>451</v>
      </c>
      <c r="D29">
        <v>9900</v>
      </c>
      <c r="E29" t="s">
        <v>8</v>
      </c>
      <c r="F29" t="s">
        <v>9</v>
      </c>
    </row>
    <row r="30" spans="1:6" x14ac:dyDescent="0.25">
      <c r="A30">
        <v>29</v>
      </c>
      <c r="B30" t="s">
        <v>67</v>
      </c>
      <c r="C30" t="s">
        <v>452</v>
      </c>
      <c r="D30">
        <v>9500</v>
      </c>
      <c r="E30" t="s">
        <v>8</v>
      </c>
      <c r="F30" t="s">
        <v>9</v>
      </c>
    </row>
    <row r="31" spans="1:6" x14ac:dyDescent="0.25">
      <c r="A31">
        <v>30</v>
      </c>
      <c r="B31" t="s">
        <v>21</v>
      </c>
      <c r="C31" t="s">
        <v>453</v>
      </c>
      <c r="D31">
        <v>34300</v>
      </c>
      <c r="E31" t="s">
        <v>8</v>
      </c>
      <c r="F31" t="s">
        <v>20</v>
      </c>
    </row>
    <row r="32" spans="1:6" x14ac:dyDescent="0.25">
      <c r="A32">
        <v>31</v>
      </c>
      <c r="B32" t="s">
        <v>86</v>
      </c>
      <c r="C32" t="s">
        <v>454</v>
      </c>
      <c r="D32">
        <v>13800</v>
      </c>
      <c r="E32" t="s">
        <v>8</v>
      </c>
      <c r="F32" t="s">
        <v>9</v>
      </c>
    </row>
    <row r="33" spans="1:6" x14ac:dyDescent="0.25">
      <c r="A33">
        <v>32</v>
      </c>
      <c r="B33" t="s">
        <v>367</v>
      </c>
      <c r="C33" t="s">
        <v>455</v>
      </c>
      <c r="D33">
        <v>37700</v>
      </c>
      <c r="E33" t="s">
        <v>38</v>
      </c>
      <c r="F33" t="s">
        <v>20</v>
      </c>
    </row>
    <row r="34" spans="1:6" x14ac:dyDescent="0.25">
      <c r="A34">
        <v>33</v>
      </c>
      <c r="B34" t="s">
        <v>280</v>
      </c>
      <c r="C34" t="s">
        <v>456</v>
      </c>
      <c r="D34">
        <v>22400</v>
      </c>
      <c r="E34" t="s">
        <v>38</v>
      </c>
      <c r="F34" t="s">
        <v>20</v>
      </c>
    </row>
    <row r="35" spans="1:6" x14ac:dyDescent="0.25">
      <c r="A35">
        <v>34</v>
      </c>
      <c r="B35" t="s">
        <v>153</v>
      </c>
      <c r="C35" t="s">
        <v>457</v>
      </c>
      <c r="D35">
        <v>167800</v>
      </c>
      <c r="E35" t="s">
        <v>23</v>
      </c>
      <c r="F35" t="s">
        <v>9</v>
      </c>
    </row>
    <row r="36" spans="1:6" x14ac:dyDescent="0.25">
      <c r="A36">
        <v>35</v>
      </c>
      <c r="B36" t="s">
        <v>399</v>
      </c>
      <c r="C36" t="s">
        <v>458</v>
      </c>
      <c r="D36">
        <v>5000</v>
      </c>
      <c r="E36" t="s">
        <v>8</v>
      </c>
      <c r="F36" t="s">
        <v>9</v>
      </c>
    </row>
    <row r="37" spans="1:6" x14ac:dyDescent="0.25">
      <c r="A37">
        <v>36</v>
      </c>
      <c r="B37" t="s">
        <v>323</v>
      </c>
      <c r="C37" t="s">
        <v>459</v>
      </c>
      <c r="D37">
        <v>10900</v>
      </c>
      <c r="E37" t="s">
        <v>8</v>
      </c>
      <c r="F37" t="s">
        <v>9</v>
      </c>
    </row>
    <row r="38" spans="1:6" x14ac:dyDescent="0.25">
      <c r="A38">
        <v>37</v>
      </c>
      <c r="B38" t="s">
        <v>195</v>
      </c>
      <c r="C38" t="s">
        <v>448</v>
      </c>
      <c r="D38">
        <v>21900</v>
      </c>
      <c r="E38" t="s">
        <v>8</v>
      </c>
      <c r="F38" t="s">
        <v>9</v>
      </c>
    </row>
    <row r="39" spans="1:6" x14ac:dyDescent="0.25">
      <c r="A39">
        <v>38</v>
      </c>
      <c r="B39" t="s">
        <v>343</v>
      </c>
      <c r="C39" t="s">
        <v>449</v>
      </c>
      <c r="D39">
        <v>5000</v>
      </c>
      <c r="E39" t="s">
        <v>8</v>
      </c>
      <c r="F39" t="s">
        <v>9</v>
      </c>
    </row>
    <row r="40" spans="1:6" x14ac:dyDescent="0.25">
      <c r="A40">
        <v>39</v>
      </c>
      <c r="B40" t="s">
        <v>82</v>
      </c>
      <c r="C40" t="s">
        <v>450</v>
      </c>
      <c r="D40">
        <v>19700</v>
      </c>
      <c r="E40" t="s">
        <v>8</v>
      </c>
      <c r="F40" t="s">
        <v>9</v>
      </c>
    </row>
    <row r="41" spans="1:6" x14ac:dyDescent="0.25">
      <c r="A41">
        <v>40</v>
      </c>
      <c r="B41" t="s">
        <v>313</v>
      </c>
      <c r="C41" t="s">
        <v>451</v>
      </c>
      <c r="D41">
        <v>92700</v>
      </c>
      <c r="E41" t="s">
        <v>8</v>
      </c>
      <c r="F41" t="s">
        <v>9</v>
      </c>
    </row>
    <row r="42" spans="1:6" x14ac:dyDescent="0.25">
      <c r="A42">
        <v>41</v>
      </c>
      <c r="B42" t="s">
        <v>55</v>
      </c>
      <c r="C42" t="s">
        <v>452</v>
      </c>
      <c r="D42">
        <v>192800</v>
      </c>
      <c r="E42" t="s">
        <v>23</v>
      </c>
      <c r="F42" t="s">
        <v>9</v>
      </c>
    </row>
    <row r="43" spans="1:6" x14ac:dyDescent="0.25">
      <c r="A43">
        <v>42</v>
      </c>
      <c r="B43" t="s">
        <v>172</v>
      </c>
      <c r="C43" t="s">
        <v>453</v>
      </c>
      <c r="D43">
        <v>13100</v>
      </c>
      <c r="E43" t="s">
        <v>38</v>
      </c>
      <c r="F43" t="s">
        <v>20</v>
      </c>
    </row>
    <row r="44" spans="1:6" x14ac:dyDescent="0.25">
      <c r="A44">
        <v>43</v>
      </c>
      <c r="B44" t="s">
        <v>219</v>
      </c>
      <c r="C44" t="s">
        <v>454</v>
      </c>
      <c r="D44">
        <v>21800</v>
      </c>
      <c r="E44" t="s">
        <v>23</v>
      </c>
      <c r="F44" t="s">
        <v>9</v>
      </c>
    </row>
    <row r="45" spans="1:6" x14ac:dyDescent="0.25">
      <c r="A45">
        <v>44</v>
      </c>
      <c r="B45" t="s">
        <v>52</v>
      </c>
      <c r="C45" t="s">
        <v>455</v>
      </c>
      <c r="D45">
        <v>25400</v>
      </c>
      <c r="E45" t="s">
        <v>8</v>
      </c>
      <c r="F45" t="s">
        <v>20</v>
      </c>
    </row>
    <row r="46" spans="1:6" x14ac:dyDescent="0.25">
      <c r="A46">
        <v>45</v>
      </c>
      <c r="B46" t="s">
        <v>388</v>
      </c>
      <c r="C46" t="s">
        <v>456</v>
      </c>
      <c r="D46">
        <v>48200</v>
      </c>
      <c r="E46" t="s">
        <v>8</v>
      </c>
      <c r="F46" t="s">
        <v>9</v>
      </c>
    </row>
    <row r="47" spans="1:6" x14ac:dyDescent="0.25">
      <c r="A47">
        <v>46</v>
      </c>
      <c r="B47" t="s">
        <v>328</v>
      </c>
      <c r="C47" t="s">
        <v>457</v>
      </c>
      <c r="D47">
        <v>16900</v>
      </c>
      <c r="E47" t="s">
        <v>8</v>
      </c>
      <c r="F47" t="s">
        <v>9</v>
      </c>
    </row>
    <row r="48" spans="1:6" x14ac:dyDescent="0.25">
      <c r="A48">
        <v>47</v>
      </c>
      <c r="B48" t="s">
        <v>340</v>
      </c>
      <c r="C48" t="s">
        <v>458</v>
      </c>
      <c r="D48">
        <v>5500</v>
      </c>
      <c r="E48" t="s">
        <v>8</v>
      </c>
      <c r="F48" t="s">
        <v>9</v>
      </c>
    </row>
    <row r="49" spans="1:6" x14ac:dyDescent="0.25">
      <c r="A49">
        <v>48</v>
      </c>
      <c r="B49" t="s">
        <v>90</v>
      </c>
      <c r="C49" t="s">
        <v>459</v>
      </c>
      <c r="D49">
        <v>39300</v>
      </c>
      <c r="E49" t="s">
        <v>8</v>
      </c>
      <c r="F49" t="s">
        <v>9</v>
      </c>
    </row>
    <row r="50" spans="1:6" x14ac:dyDescent="0.25">
      <c r="A50">
        <v>49</v>
      </c>
      <c r="B50" t="s">
        <v>310</v>
      </c>
      <c r="C50" t="s">
        <v>448</v>
      </c>
      <c r="D50">
        <v>37000</v>
      </c>
      <c r="E50" t="s">
        <v>8</v>
      </c>
      <c r="F50" t="s">
        <v>9</v>
      </c>
    </row>
    <row r="51" spans="1:6" x14ac:dyDescent="0.25">
      <c r="A51">
        <v>50</v>
      </c>
      <c r="B51" t="s">
        <v>357</v>
      </c>
      <c r="C51" t="s">
        <v>449</v>
      </c>
      <c r="D51">
        <v>20400</v>
      </c>
      <c r="E51" t="s">
        <v>8</v>
      </c>
      <c r="F51" t="s">
        <v>9</v>
      </c>
    </row>
    <row r="52" spans="1:6" x14ac:dyDescent="0.25">
      <c r="A52">
        <v>51</v>
      </c>
      <c r="B52" t="s">
        <v>28</v>
      </c>
      <c r="C52" t="s">
        <v>450</v>
      </c>
      <c r="D52">
        <v>10100</v>
      </c>
      <c r="E52" t="s">
        <v>8</v>
      </c>
      <c r="F52" t="s">
        <v>9</v>
      </c>
    </row>
    <row r="53" spans="1:6" x14ac:dyDescent="0.25">
      <c r="A53">
        <v>52</v>
      </c>
      <c r="B53" t="s">
        <v>393</v>
      </c>
      <c r="C53" t="s">
        <v>451</v>
      </c>
      <c r="D53">
        <v>72200</v>
      </c>
      <c r="E53" t="s">
        <v>23</v>
      </c>
      <c r="F53" t="s">
        <v>9</v>
      </c>
    </row>
    <row r="54" spans="1:6" x14ac:dyDescent="0.25">
      <c r="A54">
        <v>53</v>
      </c>
      <c r="B54" t="s">
        <v>352</v>
      </c>
      <c r="C54" t="s">
        <v>452</v>
      </c>
      <c r="D54">
        <v>5100</v>
      </c>
      <c r="E54" t="s">
        <v>8</v>
      </c>
      <c r="F54" t="s">
        <v>9</v>
      </c>
    </row>
    <row r="55" spans="1:6" x14ac:dyDescent="0.25">
      <c r="A55">
        <v>54</v>
      </c>
      <c r="B55" t="s">
        <v>53</v>
      </c>
      <c r="C55" t="s">
        <v>453</v>
      </c>
      <c r="D55">
        <v>83200</v>
      </c>
      <c r="E55" t="s">
        <v>8</v>
      </c>
      <c r="F55" t="s">
        <v>9</v>
      </c>
    </row>
    <row r="56" spans="1:6" x14ac:dyDescent="0.25">
      <c r="A56">
        <v>55</v>
      </c>
      <c r="B56" t="s">
        <v>357</v>
      </c>
      <c r="C56" t="s">
        <v>454</v>
      </c>
      <c r="D56">
        <v>23300</v>
      </c>
      <c r="E56" t="s">
        <v>8</v>
      </c>
      <c r="F56" t="s">
        <v>9</v>
      </c>
    </row>
    <row r="57" spans="1:6" x14ac:dyDescent="0.25">
      <c r="A57">
        <v>56</v>
      </c>
      <c r="B57" t="s">
        <v>326</v>
      </c>
      <c r="C57" t="s">
        <v>455</v>
      </c>
      <c r="D57">
        <v>31000</v>
      </c>
      <c r="E57" t="s">
        <v>8</v>
      </c>
      <c r="F57" t="s">
        <v>9</v>
      </c>
    </row>
    <row r="58" spans="1:6" x14ac:dyDescent="0.25">
      <c r="A58">
        <v>57</v>
      </c>
      <c r="B58" t="s">
        <v>180</v>
      </c>
      <c r="C58" t="s">
        <v>456</v>
      </c>
      <c r="D58">
        <v>26600</v>
      </c>
      <c r="E58" t="s">
        <v>8</v>
      </c>
      <c r="F58" t="s">
        <v>9</v>
      </c>
    </row>
    <row r="59" spans="1:6" x14ac:dyDescent="0.25">
      <c r="A59">
        <v>58</v>
      </c>
      <c r="B59" t="s">
        <v>165</v>
      </c>
      <c r="C59" t="s">
        <v>457</v>
      </c>
      <c r="D59">
        <v>13000</v>
      </c>
      <c r="E59" t="s">
        <v>8</v>
      </c>
      <c r="F59" t="s">
        <v>9</v>
      </c>
    </row>
    <row r="60" spans="1:6" x14ac:dyDescent="0.25">
      <c r="A60">
        <v>59</v>
      </c>
      <c r="B60" t="s">
        <v>39</v>
      </c>
      <c r="C60" t="s">
        <v>458</v>
      </c>
      <c r="D60">
        <v>43800</v>
      </c>
      <c r="E60" t="s">
        <v>8</v>
      </c>
      <c r="F60" t="s">
        <v>9</v>
      </c>
    </row>
    <row r="61" spans="1:6" x14ac:dyDescent="0.25">
      <c r="A61">
        <v>60</v>
      </c>
      <c r="B61" t="s">
        <v>285</v>
      </c>
      <c r="C61" t="s">
        <v>459</v>
      </c>
      <c r="D61">
        <v>12100</v>
      </c>
      <c r="E61" t="s">
        <v>38</v>
      </c>
      <c r="F61" t="s">
        <v>20</v>
      </c>
    </row>
    <row r="62" spans="1:6" x14ac:dyDescent="0.25">
      <c r="A62">
        <v>61</v>
      </c>
      <c r="B62" t="s">
        <v>69</v>
      </c>
      <c r="C62" t="s">
        <v>448</v>
      </c>
      <c r="D62">
        <v>21500</v>
      </c>
      <c r="E62" t="s">
        <v>8</v>
      </c>
      <c r="F62" t="s">
        <v>9</v>
      </c>
    </row>
    <row r="63" spans="1:6" x14ac:dyDescent="0.25">
      <c r="A63">
        <v>62</v>
      </c>
      <c r="B63" t="s">
        <v>107</v>
      </c>
      <c r="C63" t="s">
        <v>449</v>
      </c>
      <c r="D63">
        <v>55500</v>
      </c>
      <c r="E63" t="s">
        <v>8</v>
      </c>
      <c r="F63" t="s">
        <v>9</v>
      </c>
    </row>
    <row r="64" spans="1:6" x14ac:dyDescent="0.25">
      <c r="A64">
        <v>63</v>
      </c>
      <c r="B64" t="s">
        <v>231</v>
      </c>
      <c r="C64" t="s">
        <v>450</v>
      </c>
      <c r="D64">
        <v>27300</v>
      </c>
      <c r="E64" t="s">
        <v>8</v>
      </c>
      <c r="F64" t="s">
        <v>9</v>
      </c>
    </row>
    <row r="65" spans="1:6" x14ac:dyDescent="0.25">
      <c r="A65">
        <v>64</v>
      </c>
      <c r="B65" t="s">
        <v>141</v>
      </c>
      <c r="C65" t="s">
        <v>451</v>
      </c>
      <c r="D65">
        <v>91400</v>
      </c>
      <c r="E65" t="s">
        <v>8</v>
      </c>
      <c r="F65" t="s">
        <v>9</v>
      </c>
    </row>
    <row r="66" spans="1:6" x14ac:dyDescent="0.25">
      <c r="A66">
        <v>65</v>
      </c>
      <c r="B66" t="s">
        <v>402</v>
      </c>
      <c r="C66" t="s">
        <v>452</v>
      </c>
      <c r="D66">
        <v>65400</v>
      </c>
      <c r="E66" t="s">
        <v>8</v>
      </c>
      <c r="F66" t="s">
        <v>9</v>
      </c>
    </row>
    <row r="67" spans="1:6" x14ac:dyDescent="0.25">
      <c r="A67">
        <v>66</v>
      </c>
      <c r="B67" t="s">
        <v>83</v>
      </c>
      <c r="C67" t="s">
        <v>453</v>
      </c>
      <c r="D67">
        <v>13600</v>
      </c>
      <c r="E67" t="s">
        <v>38</v>
      </c>
      <c r="F67" t="s">
        <v>20</v>
      </c>
    </row>
    <row r="68" spans="1:6" x14ac:dyDescent="0.25">
      <c r="A68">
        <v>67</v>
      </c>
      <c r="B68" t="s">
        <v>163</v>
      </c>
      <c r="C68" t="s">
        <v>454</v>
      </c>
      <c r="D68">
        <v>23700</v>
      </c>
      <c r="E68" t="s">
        <v>8</v>
      </c>
      <c r="F68" t="s">
        <v>20</v>
      </c>
    </row>
    <row r="69" spans="1:6" x14ac:dyDescent="0.25">
      <c r="A69">
        <v>68</v>
      </c>
      <c r="B69" t="s">
        <v>99</v>
      </c>
      <c r="C69" t="s">
        <v>455</v>
      </c>
      <c r="D69">
        <v>30600</v>
      </c>
      <c r="E69" t="s">
        <v>23</v>
      </c>
      <c r="F69" t="s">
        <v>9</v>
      </c>
    </row>
    <row r="70" spans="1:6" x14ac:dyDescent="0.25">
      <c r="A70">
        <v>69</v>
      </c>
      <c r="B70" t="s">
        <v>177</v>
      </c>
      <c r="C70" t="s">
        <v>456</v>
      </c>
      <c r="D70">
        <v>24300</v>
      </c>
      <c r="E70" t="s">
        <v>8</v>
      </c>
      <c r="F70" t="s">
        <v>9</v>
      </c>
    </row>
    <row r="71" spans="1:6" x14ac:dyDescent="0.25">
      <c r="A71">
        <v>70</v>
      </c>
      <c r="B71" t="s">
        <v>104</v>
      </c>
      <c r="C71" t="s">
        <v>457</v>
      </c>
      <c r="D71">
        <v>8500</v>
      </c>
      <c r="E71" t="s">
        <v>8</v>
      </c>
      <c r="F71" t="s">
        <v>20</v>
      </c>
    </row>
    <row r="72" spans="1:6" x14ac:dyDescent="0.25">
      <c r="A72">
        <v>71</v>
      </c>
      <c r="B72" t="s">
        <v>110</v>
      </c>
      <c r="C72" t="s">
        <v>458</v>
      </c>
      <c r="D72">
        <v>11700</v>
      </c>
      <c r="E72" t="s">
        <v>38</v>
      </c>
      <c r="F72" t="s">
        <v>20</v>
      </c>
    </row>
    <row r="73" spans="1:6" x14ac:dyDescent="0.25">
      <c r="A73">
        <v>72</v>
      </c>
      <c r="B73" t="s">
        <v>113</v>
      </c>
      <c r="C73" t="s">
        <v>459</v>
      </c>
      <c r="D73">
        <v>6200</v>
      </c>
      <c r="E73" t="s">
        <v>23</v>
      </c>
      <c r="F73" t="s">
        <v>20</v>
      </c>
    </row>
    <row r="74" spans="1:6" x14ac:dyDescent="0.25">
      <c r="A74">
        <v>73</v>
      </c>
      <c r="B74" t="s">
        <v>418</v>
      </c>
      <c r="C74" t="s">
        <v>448</v>
      </c>
      <c r="D74">
        <v>13300</v>
      </c>
      <c r="E74" t="s">
        <v>8</v>
      </c>
      <c r="F74" t="s">
        <v>9</v>
      </c>
    </row>
    <row r="75" spans="1:6" x14ac:dyDescent="0.25">
      <c r="A75">
        <v>74</v>
      </c>
      <c r="B75" t="s">
        <v>259</v>
      </c>
      <c r="C75" t="s">
        <v>449</v>
      </c>
      <c r="D75">
        <v>27200</v>
      </c>
      <c r="E75" t="s">
        <v>8</v>
      </c>
      <c r="F75" t="s">
        <v>9</v>
      </c>
    </row>
    <row r="76" spans="1:6" x14ac:dyDescent="0.25">
      <c r="A76">
        <v>75</v>
      </c>
      <c r="B76" t="s">
        <v>65</v>
      </c>
      <c r="C76" t="s">
        <v>450</v>
      </c>
      <c r="D76">
        <v>11300</v>
      </c>
      <c r="E76" t="s">
        <v>38</v>
      </c>
      <c r="F76" t="s">
        <v>20</v>
      </c>
    </row>
    <row r="77" spans="1:6" x14ac:dyDescent="0.25">
      <c r="A77">
        <v>76</v>
      </c>
      <c r="B77" t="s">
        <v>211</v>
      </c>
      <c r="C77" t="s">
        <v>451</v>
      </c>
      <c r="D77">
        <v>16900</v>
      </c>
      <c r="E77" t="s">
        <v>38</v>
      </c>
      <c r="F77" t="s">
        <v>20</v>
      </c>
    </row>
    <row r="78" spans="1:6" x14ac:dyDescent="0.25">
      <c r="A78">
        <v>77</v>
      </c>
      <c r="B78" t="s">
        <v>310</v>
      </c>
      <c r="C78" t="s">
        <v>452</v>
      </c>
      <c r="D78">
        <v>26800</v>
      </c>
      <c r="E78" t="s">
        <v>38</v>
      </c>
      <c r="F78" t="s">
        <v>20</v>
      </c>
    </row>
    <row r="79" spans="1:6" x14ac:dyDescent="0.25">
      <c r="A79">
        <v>78</v>
      </c>
      <c r="B79" t="s">
        <v>47</v>
      </c>
      <c r="C79" t="s">
        <v>453</v>
      </c>
      <c r="D79">
        <v>160400</v>
      </c>
      <c r="E79" t="s">
        <v>8</v>
      </c>
      <c r="F79" t="s">
        <v>9</v>
      </c>
    </row>
    <row r="80" spans="1:6" x14ac:dyDescent="0.25">
      <c r="A80">
        <v>79</v>
      </c>
      <c r="B80" t="s">
        <v>211</v>
      </c>
      <c r="C80" t="s">
        <v>454</v>
      </c>
      <c r="D80">
        <v>24900</v>
      </c>
      <c r="E80" t="s">
        <v>8</v>
      </c>
      <c r="F80" t="s">
        <v>9</v>
      </c>
    </row>
    <row r="81" spans="1:6" x14ac:dyDescent="0.25">
      <c r="A81">
        <v>80</v>
      </c>
      <c r="B81" t="s">
        <v>354</v>
      </c>
      <c r="C81" t="s">
        <v>455</v>
      </c>
      <c r="D81">
        <v>26100</v>
      </c>
      <c r="E81" t="s">
        <v>8</v>
      </c>
      <c r="F81" t="s">
        <v>9</v>
      </c>
    </row>
    <row r="82" spans="1:6" x14ac:dyDescent="0.25">
      <c r="A82">
        <v>81</v>
      </c>
      <c r="B82" t="s">
        <v>166</v>
      </c>
      <c r="C82" t="s">
        <v>456</v>
      </c>
      <c r="D82">
        <v>9000</v>
      </c>
      <c r="E82" t="s">
        <v>8</v>
      </c>
      <c r="F82" t="s">
        <v>9</v>
      </c>
    </row>
    <row r="83" spans="1:6" x14ac:dyDescent="0.25">
      <c r="A83">
        <v>82</v>
      </c>
      <c r="B83" t="s">
        <v>108</v>
      </c>
      <c r="C83" t="s">
        <v>457</v>
      </c>
      <c r="D83">
        <v>140100</v>
      </c>
      <c r="E83" t="s">
        <v>8</v>
      </c>
      <c r="F83" t="s">
        <v>9</v>
      </c>
    </row>
    <row r="84" spans="1:6" x14ac:dyDescent="0.25">
      <c r="A84">
        <v>83</v>
      </c>
      <c r="B84" t="s">
        <v>176</v>
      </c>
      <c r="C84" t="s">
        <v>458</v>
      </c>
      <c r="D84">
        <v>23500</v>
      </c>
      <c r="E84" t="s">
        <v>8</v>
      </c>
      <c r="F84" t="s">
        <v>9</v>
      </c>
    </row>
    <row r="85" spans="1:6" x14ac:dyDescent="0.25">
      <c r="A85">
        <v>84</v>
      </c>
      <c r="B85" t="s">
        <v>154</v>
      </c>
      <c r="C85" t="s">
        <v>459</v>
      </c>
      <c r="D85">
        <v>12800</v>
      </c>
      <c r="E85" t="s">
        <v>8</v>
      </c>
      <c r="F85" t="s">
        <v>9</v>
      </c>
    </row>
    <row r="86" spans="1:6" x14ac:dyDescent="0.25">
      <c r="A86">
        <v>85</v>
      </c>
      <c r="B86" t="s">
        <v>78</v>
      </c>
      <c r="C86" t="s">
        <v>448</v>
      </c>
      <c r="D86">
        <v>65900</v>
      </c>
      <c r="E86" t="s">
        <v>8</v>
      </c>
      <c r="F86" t="s">
        <v>9</v>
      </c>
    </row>
    <row r="87" spans="1:6" x14ac:dyDescent="0.25">
      <c r="A87">
        <v>86</v>
      </c>
      <c r="B87" t="s">
        <v>95</v>
      </c>
      <c r="C87" t="s">
        <v>449</v>
      </c>
      <c r="D87">
        <v>58000</v>
      </c>
      <c r="E87" t="s">
        <v>8</v>
      </c>
      <c r="F87" t="s">
        <v>9</v>
      </c>
    </row>
    <row r="88" spans="1:6" x14ac:dyDescent="0.25">
      <c r="A88">
        <v>87</v>
      </c>
      <c r="B88" t="s">
        <v>51</v>
      </c>
      <c r="C88" t="s">
        <v>450</v>
      </c>
      <c r="D88">
        <v>17400</v>
      </c>
      <c r="E88" t="s">
        <v>8</v>
      </c>
      <c r="F88" t="s">
        <v>9</v>
      </c>
    </row>
    <row r="89" spans="1:6" x14ac:dyDescent="0.25">
      <c r="A89">
        <v>88</v>
      </c>
      <c r="B89" t="s">
        <v>370</v>
      </c>
      <c r="C89" t="s">
        <v>451</v>
      </c>
      <c r="D89">
        <v>22000</v>
      </c>
      <c r="E89" t="s">
        <v>38</v>
      </c>
      <c r="F89" t="s">
        <v>20</v>
      </c>
    </row>
    <row r="90" spans="1:6" x14ac:dyDescent="0.25">
      <c r="A90">
        <v>89</v>
      </c>
      <c r="B90" t="s">
        <v>96</v>
      </c>
      <c r="C90" t="s">
        <v>452</v>
      </c>
      <c r="D90">
        <v>16100</v>
      </c>
      <c r="E90" t="s">
        <v>8</v>
      </c>
      <c r="F90" t="s">
        <v>9</v>
      </c>
    </row>
    <row r="91" spans="1:6" x14ac:dyDescent="0.25">
      <c r="A91">
        <v>90</v>
      </c>
      <c r="B91" t="s">
        <v>261</v>
      </c>
      <c r="C91" t="s">
        <v>453</v>
      </c>
      <c r="D91">
        <v>17100</v>
      </c>
      <c r="E91" t="s">
        <v>8</v>
      </c>
      <c r="F91" t="s">
        <v>9</v>
      </c>
    </row>
    <row r="92" spans="1:6" x14ac:dyDescent="0.25">
      <c r="A92">
        <v>91</v>
      </c>
      <c r="B92" t="s">
        <v>174</v>
      </c>
      <c r="C92" t="s">
        <v>454</v>
      </c>
      <c r="D92">
        <v>11600</v>
      </c>
      <c r="E92" t="s">
        <v>23</v>
      </c>
      <c r="F92" t="s">
        <v>9</v>
      </c>
    </row>
    <row r="93" spans="1:6" x14ac:dyDescent="0.25">
      <c r="A93">
        <v>92</v>
      </c>
      <c r="B93" t="s">
        <v>104</v>
      </c>
      <c r="C93" t="s">
        <v>455</v>
      </c>
      <c r="D93">
        <v>19000</v>
      </c>
      <c r="E93" t="s">
        <v>8</v>
      </c>
      <c r="F93" t="s">
        <v>9</v>
      </c>
    </row>
    <row r="94" spans="1:6" x14ac:dyDescent="0.25">
      <c r="A94">
        <v>93</v>
      </c>
      <c r="B94" t="s">
        <v>178</v>
      </c>
      <c r="C94" t="s">
        <v>456</v>
      </c>
      <c r="D94">
        <v>5000</v>
      </c>
      <c r="E94" t="s">
        <v>38</v>
      </c>
      <c r="F94" t="s">
        <v>20</v>
      </c>
    </row>
    <row r="95" spans="1:6" x14ac:dyDescent="0.25">
      <c r="A95">
        <v>94</v>
      </c>
      <c r="B95" t="s">
        <v>340</v>
      </c>
      <c r="C95" t="s">
        <v>457</v>
      </c>
      <c r="D95">
        <v>34900</v>
      </c>
      <c r="E95" t="s">
        <v>8</v>
      </c>
      <c r="F95" t="s">
        <v>9</v>
      </c>
    </row>
    <row r="96" spans="1:6" x14ac:dyDescent="0.25">
      <c r="A96">
        <v>95</v>
      </c>
      <c r="B96" t="s">
        <v>229</v>
      </c>
      <c r="C96" t="s">
        <v>458</v>
      </c>
      <c r="D96">
        <v>13800</v>
      </c>
      <c r="E96" t="s">
        <v>38</v>
      </c>
      <c r="F96" t="s">
        <v>20</v>
      </c>
    </row>
    <row r="97" spans="1:6" x14ac:dyDescent="0.25">
      <c r="A97">
        <v>96</v>
      </c>
      <c r="B97" t="s">
        <v>397</v>
      </c>
      <c r="C97" t="s">
        <v>459</v>
      </c>
      <c r="D97">
        <v>108300</v>
      </c>
      <c r="E97" t="s">
        <v>8</v>
      </c>
      <c r="F97" t="s">
        <v>20</v>
      </c>
    </row>
    <row r="98" spans="1:6" x14ac:dyDescent="0.25">
      <c r="A98">
        <v>97</v>
      </c>
      <c r="B98" t="s">
        <v>339</v>
      </c>
      <c r="C98" t="s">
        <v>448</v>
      </c>
      <c r="D98">
        <v>11600</v>
      </c>
      <c r="E98" t="s">
        <v>8</v>
      </c>
      <c r="F98" t="s">
        <v>9</v>
      </c>
    </row>
    <row r="99" spans="1:6" x14ac:dyDescent="0.25">
      <c r="A99">
        <v>98</v>
      </c>
      <c r="B99" t="s">
        <v>139</v>
      </c>
      <c r="C99" t="s">
        <v>449</v>
      </c>
      <c r="D99">
        <v>26100</v>
      </c>
      <c r="E99" t="s">
        <v>8</v>
      </c>
      <c r="F99" t="s">
        <v>9</v>
      </c>
    </row>
    <row r="100" spans="1:6" x14ac:dyDescent="0.25">
      <c r="A100">
        <v>99</v>
      </c>
      <c r="B100" t="s">
        <v>330</v>
      </c>
      <c r="C100" t="s">
        <v>450</v>
      </c>
      <c r="D100">
        <v>100000</v>
      </c>
      <c r="E100" t="s">
        <v>8</v>
      </c>
      <c r="F100" t="s">
        <v>9</v>
      </c>
    </row>
    <row r="101" spans="1:6" x14ac:dyDescent="0.25">
      <c r="A101">
        <v>100</v>
      </c>
      <c r="B101" t="s">
        <v>248</v>
      </c>
      <c r="C101" t="s">
        <v>451</v>
      </c>
      <c r="D101">
        <v>25700</v>
      </c>
      <c r="E101" t="s">
        <v>8</v>
      </c>
      <c r="F101" t="s">
        <v>9</v>
      </c>
    </row>
    <row r="102" spans="1:6" x14ac:dyDescent="0.25">
      <c r="A102">
        <v>101</v>
      </c>
      <c r="B102" t="s">
        <v>46</v>
      </c>
      <c r="C102" t="s">
        <v>452</v>
      </c>
      <c r="D102">
        <v>9700</v>
      </c>
      <c r="E102" t="s">
        <v>8</v>
      </c>
      <c r="F102" t="s">
        <v>9</v>
      </c>
    </row>
    <row r="103" spans="1:6" x14ac:dyDescent="0.25">
      <c r="A103">
        <v>102</v>
      </c>
      <c r="B103" t="s">
        <v>397</v>
      </c>
      <c r="C103" t="s">
        <v>453</v>
      </c>
      <c r="D103">
        <v>12000</v>
      </c>
      <c r="E103" t="s">
        <v>23</v>
      </c>
      <c r="F103" t="s">
        <v>9</v>
      </c>
    </row>
    <row r="104" spans="1:6" x14ac:dyDescent="0.25">
      <c r="A104">
        <v>103</v>
      </c>
      <c r="B104" t="s">
        <v>262</v>
      </c>
      <c r="C104" t="s">
        <v>454</v>
      </c>
      <c r="D104">
        <v>5900</v>
      </c>
      <c r="E104" t="s">
        <v>8</v>
      </c>
      <c r="F104" t="s">
        <v>9</v>
      </c>
    </row>
    <row r="105" spans="1:6" x14ac:dyDescent="0.25">
      <c r="A105">
        <v>104</v>
      </c>
      <c r="B105" t="s">
        <v>160</v>
      </c>
      <c r="C105" t="s">
        <v>455</v>
      </c>
      <c r="D105">
        <v>5000</v>
      </c>
      <c r="E105" t="s">
        <v>8</v>
      </c>
      <c r="F105" t="s">
        <v>9</v>
      </c>
    </row>
    <row r="106" spans="1:6" x14ac:dyDescent="0.25">
      <c r="A106">
        <v>105</v>
      </c>
      <c r="B106" t="s">
        <v>42</v>
      </c>
      <c r="C106" t="s">
        <v>456</v>
      </c>
      <c r="D106">
        <v>5000</v>
      </c>
      <c r="E106" t="s">
        <v>23</v>
      </c>
      <c r="F106" t="s">
        <v>9</v>
      </c>
    </row>
    <row r="107" spans="1:6" x14ac:dyDescent="0.25">
      <c r="A107">
        <v>106</v>
      </c>
      <c r="B107" t="s">
        <v>53</v>
      </c>
      <c r="C107" t="s">
        <v>457</v>
      </c>
      <c r="D107">
        <v>5000</v>
      </c>
      <c r="E107" t="s">
        <v>38</v>
      </c>
      <c r="F107" t="s">
        <v>20</v>
      </c>
    </row>
    <row r="108" spans="1:6" x14ac:dyDescent="0.25">
      <c r="A108">
        <v>107</v>
      </c>
      <c r="B108" t="s">
        <v>96</v>
      </c>
      <c r="C108" t="s">
        <v>458</v>
      </c>
      <c r="D108">
        <v>5000</v>
      </c>
      <c r="E108" t="s">
        <v>8</v>
      </c>
      <c r="F108" t="s">
        <v>9</v>
      </c>
    </row>
    <row r="109" spans="1:6" x14ac:dyDescent="0.25">
      <c r="A109">
        <v>108</v>
      </c>
      <c r="B109" t="s">
        <v>60</v>
      </c>
      <c r="C109" t="s">
        <v>459</v>
      </c>
      <c r="D109">
        <v>10800</v>
      </c>
      <c r="E109" t="s">
        <v>8</v>
      </c>
      <c r="F109" t="s">
        <v>9</v>
      </c>
    </row>
    <row r="110" spans="1:6" x14ac:dyDescent="0.25">
      <c r="A110">
        <v>109</v>
      </c>
      <c r="B110" t="s">
        <v>48</v>
      </c>
      <c r="C110" t="s">
        <v>448</v>
      </c>
      <c r="D110">
        <v>7200</v>
      </c>
      <c r="E110" t="s">
        <v>8</v>
      </c>
      <c r="F110" t="s">
        <v>20</v>
      </c>
    </row>
    <row r="111" spans="1:6" x14ac:dyDescent="0.25">
      <c r="A111">
        <v>110</v>
      </c>
      <c r="B111" t="s">
        <v>286</v>
      </c>
      <c r="C111" t="s">
        <v>449</v>
      </c>
      <c r="D111">
        <v>61600</v>
      </c>
      <c r="E111" t="s">
        <v>8</v>
      </c>
      <c r="F111" t="s">
        <v>9</v>
      </c>
    </row>
    <row r="112" spans="1:6" x14ac:dyDescent="0.25">
      <c r="A112">
        <v>111</v>
      </c>
      <c r="B112" t="s">
        <v>49</v>
      </c>
      <c r="C112" t="s">
        <v>450</v>
      </c>
      <c r="D112">
        <v>45000</v>
      </c>
      <c r="E112" t="s">
        <v>8</v>
      </c>
      <c r="F112" t="s">
        <v>9</v>
      </c>
    </row>
    <row r="113" spans="1:6" x14ac:dyDescent="0.25">
      <c r="A113">
        <v>112</v>
      </c>
      <c r="B113" t="s">
        <v>291</v>
      </c>
      <c r="C113" t="s">
        <v>451</v>
      </c>
      <c r="D113">
        <v>23200</v>
      </c>
      <c r="E113" t="s">
        <v>8</v>
      </c>
      <c r="F113" t="s">
        <v>9</v>
      </c>
    </row>
    <row r="114" spans="1:6" x14ac:dyDescent="0.25">
      <c r="A114">
        <v>113</v>
      </c>
      <c r="B114" t="s">
        <v>154</v>
      </c>
      <c r="C114" t="s">
        <v>452</v>
      </c>
      <c r="D114">
        <v>42600</v>
      </c>
      <c r="E114" t="s">
        <v>23</v>
      </c>
      <c r="F114" t="s">
        <v>9</v>
      </c>
    </row>
    <row r="115" spans="1:6" x14ac:dyDescent="0.25">
      <c r="A115">
        <v>114</v>
      </c>
      <c r="B115" t="s">
        <v>259</v>
      </c>
      <c r="C115" t="s">
        <v>453</v>
      </c>
      <c r="D115">
        <v>22000</v>
      </c>
      <c r="E115" t="s">
        <v>38</v>
      </c>
      <c r="F115" t="s">
        <v>20</v>
      </c>
    </row>
    <row r="116" spans="1:6" x14ac:dyDescent="0.25">
      <c r="A116">
        <v>115</v>
      </c>
      <c r="B116" t="s">
        <v>119</v>
      </c>
      <c r="C116" t="s">
        <v>454</v>
      </c>
      <c r="D116">
        <v>67000</v>
      </c>
      <c r="E116" t="s">
        <v>8</v>
      </c>
      <c r="F116" t="s">
        <v>9</v>
      </c>
    </row>
    <row r="117" spans="1:6" x14ac:dyDescent="0.25">
      <c r="A117">
        <v>116</v>
      </c>
      <c r="B117" t="s">
        <v>419</v>
      </c>
      <c r="C117" t="s">
        <v>455</v>
      </c>
      <c r="D117">
        <v>39700</v>
      </c>
      <c r="E117" t="s">
        <v>8</v>
      </c>
      <c r="F117" t="s">
        <v>20</v>
      </c>
    </row>
    <row r="118" spans="1:6" x14ac:dyDescent="0.25">
      <c r="A118">
        <v>117</v>
      </c>
      <c r="B118" t="s">
        <v>121</v>
      </c>
      <c r="C118" t="s">
        <v>456</v>
      </c>
      <c r="D118">
        <v>24200</v>
      </c>
      <c r="E118" t="s">
        <v>8</v>
      </c>
      <c r="F118" t="s">
        <v>9</v>
      </c>
    </row>
    <row r="119" spans="1:6" x14ac:dyDescent="0.25">
      <c r="A119">
        <v>118</v>
      </c>
      <c r="B119" t="s">
        <v>195</v>
      </c>
      <c r="C119" t="s">
        <v>457</v>
      </c>
      <c r="D119">
        <v>8400</v>
      </c>
      <c r="E119" t="s">
        <v>8</v>
      </c>
      <c r="F119" t="s">
        <v>9</v>
      </c>
    </row>
    <row r="120" spans="1:6" x14ac:dyDescent="0.25">
      <c r="A120">
        <v>119</v>
      </c>
      <c r="B120" t="s">
        <v>180</v>
      </c>
      <c r="C120" t="s">
        <v>458</v>
      </c>
      <c r="D120">
        <v>51000</v>
      </c>
      <c r="E120" t="s">
        <v>8</v>
      </c>
      <c r="F120" t="s">
        <v>9</v>
      </c>
    </row>
    <row r="121" spans="1:6" x14ac:dyDescent="0.25">
      <c r="A121">
        <v>120</v>
      </c>
      <c r="B121" t="s">
        <v>389</v>
      </c>
      <c r="C121" t="s">
        <v>459</v>
      </c>
      <c r="D121">
        <v>49900</v>
      </c>
      <c r="E121" t="s">
        <v>8</v>
      </c>
      <c r="F121" t="s">
        <v>9</v>
      </c>
    </row>
    <row r="122" spans="1:6" x14ac:dyDescent="0.25">
      <c r="A122">
        <v>121</v>
      </c>
      <c r="B122" t="s">
        <v>366</v>
      </c>
      <c r="C122" t="s">
        <v>448</v>
      </c>
      <c r="D122">
        <v>5000</v>
      </c>
      <c r="E122" t="s">
        <v>8</v>
      </c>
      <c r="F122" t="s">
        <v>9</v>
      </c>
    </row>
    <row r="123" spans="1:6" x14ac:dyDescent="0.25">
      <c r="A123">
        <v>122</v>
      </c>
      <c r="B123" t="s">
        <v>132</v>
      </c>
      <c r="C123" t="s">
        <v>449</v>
      </c>
      <c r="D123">
        <v>34300</v>
      </c>
      <c r="E123" t="s">
        <v>8</v>
      </c>
      <c r="F123" t="s">
        <v>9</v>
      </c>
    </row>
    <row r="124" spans="1:6" x14ac:dyDescent="0.25">
      <c r="A124">
        <v>123</v>
      </c>
      <c r="B124" t="s">
        <v>124</v>
      </c>
      <c r="C124" t="s">
        <v>450</v>
      </c>
      <c r="D124">
        <v>10100</v>
      </c>
      <c r="E124" t="s">
        <v>8</v>
      </c>
      <c r="F124" t="s">
        <v>20</v>
      </c>
    </row>
    <row r="125" spans="1:6" x14ac:dyDescent="0.25">
      <c r="A125">
        <v>124</v>
      </c>
      <c r="B125" t="s">
        <v>76</v>
      </c>
      <c r="C125" t="s">
        <v>451</v>
      </c>
      <c r="D125">
        <v>17700</v>
      </c>
      <c r="E125" t="s">
        <v>8</v>
      </c>
      <c r="F125" t="s">
        <v>9</v>
      </c>
    </row>
    <row r="126" spans="1:6" x14ac:dyDescent="0.25">
      <c r="A126">
        <v>125</v>
      </c>
      <c r="B126" t="s">
        <v>220</v>
      </c>
      <c r="C126" t="s">
        <v>452</v>
      </c>
      <c r="D126">
        <v>121700</v>
      </c>
      <c r="E126" t="s">
        <v>8</v>
      </c>
      <c r="F126" t="s">
        <v>9</v>
      </c>
    </row>
    <row r="127" spans="1:6" x14ac:dyDescent="0.25">
      <c r="A127">
        <v>126</v>
      </c>
      <c r="B127" t="s">
        <v>217</v>
      </c>
      <c r="C127" t="s">
        <v>453</v>
      </c>
      <c r="D127">
        <v>115700</v>
      </c>
      <c r="E127" t="s">
        <v>8</v>
      </c>
      <c r="F127" t="s">
        <v>9</v>
      </c>
    </row>
    <row r="128" spans="1:6" x14ac:dyDescent="0.25">
      <c r="A128">
        <v>127</v>
      </c>
      <c r="B128" t="s">
        <v>389</v>
      </c>
      <c r="C128" t="s">
        <v>454</v>
      </c>
      <c r="D128">
        <v>18900</v>
      </c>
      <c r="E128" t="s">
        <v>8</v>
      </c>
      <c r="F128" t="s">
        <v>9</v>
      </c>
    </row>
    <row r="129" spans="1:6" x14ac:dyDescent="0.25">
      <c r="A129">
        <v>128</v>
      </c>
      <c r="B129" t="s">
        <v>359</v>
      </c>
      <c r="C129" t="s">
        <v>455</v>
      </c>
      <c r="D129">
        <v>187400</v>
      </c>
      <c r="E129" t="s">
        <v>8</v>
      </c>
      <c r="F129" t="s">
        <v>9</v>
      </c>
    </row>
    <row r="130" spans="1:6" x14ac:dyDescent="0.25">
      <c r="A130">
        <v>129</v>
      </c>
      <c r="B130" t="s">
        <v>333</v>
      </c>
      <c r="C130" t="s">
        <v>456</v>
      </c>
      <c r="D130">
        <v>12600</v>
      </c>
      <c r="E130" t="s">
        <v>8</v>
      </c>
      <c r="F130" t="s">
        <v>9</v>
      </c>
    </row>
    <row r="131" spans="1:6" x14ac:dyDescent="0.25">
      <c r="A131">
        <v>130</v>
      </c>
      <c r="B131" t="s">
        <v>76</v>
      </c>
      <c r="C131" t="s">
        <v>457</v>
      </c>
      <c r="D131">
        <v>22700</v>
      </c>
      <c r="E131" t="s">
        <v>8</v>
      </c>
      <c r="F131" t="s">
        <v>9</v>
      </c>
    </row>
    <row r="132" spans="1:6" x14ac:dyDescent="0.25">
      <c r="A132">
        <v>131</v>
      </c>
      <c r="B132" t="s">
        <v>153</v>
      </c>
      <c r="C132" t="s">
        <v>458</v>
      </c>
      <c r="D132">
        <v>22500</v>
      </c>
      <c r="E132" t="s">
        <v>8</v>
      </c>
      <c r="F132" t="s">
        <v>9</v>
      </c>
    </row>
    <row r="133" spans="1:6" x14ac:dyDescent="0.25">
      <c r="A133">
        <v>132</v>
      </c>
      <c r="B133" t="s">
        <v>230</v>
      </c>
      <c r="C133" t="s">
        <v>459</v>
      </c>
      <c r="D133">
        <v>43900</v>
      </c>
      <c r="E133" t="s">
        <v>8</v>
      </c>
      <c r="F133" t="s">
        <v>9</v>
      </c>
    </row>
    <row r="134" spans="1:6" x14ac:dyDescent="0.25">
      <c r="A134">
        <v>133</v>
      </c>
      <c r="B134" t="s">
        <v>156</v>
      </c>
      <c r="C134" t="s">
        <v>448</v>
      </c>
      <c r="D134">
        <v>11800</v>
      </c>
      <c r="E134" t="s">
        <v>23</v>
      </c>
      <c r="F134" t="s">
        <v>9</v>
      </c>
    </row>
    <row r="135" spans="1:6" x14ac:dyDescent="0.25">
      <c r="A135">
        <v>134</v>
      </c>
      <c r="B135" t="s">
        <v>197</v>
      </c>
      <c r="C135" t="s">
        <v>449</v>
      </c>
      <c r="D135">
        <v>29900</v>
      </c>
      <c r="E135" t="s">
        <v>8</v>
      </c>
      <c r="F135" t="s">
        <v>9</v>
      </c>
    </row>
    <row r="136" spans="1:6" x14ac:dyDescent="0.25">
      <c r="A136">
        <v>135</v>
      </c>
      <c r="B136" t="s">
        <v>54</v>
      </c>
      <c r="C136" t="s">
        <v>450</v>
      </c>
      <c r="D136">
        <v>20700</v>
      </c>
      <c r="E136" t="s">
        <v>8</v>
      </c>
      <c r="F136" t="s">
        <v>9</v>
      </c>
    </row>
    <row r="137" spans="1:6" x14ac:dyDescent="0.25">
      <c r="A137">
        <v>136</v>
      </c>
      <c r="B137" t="s">
        <v>180</v>
      </c>
      <c r="C137" t="s">
        <v>451</v>
      </c>
      <c r="D137">
        <v>5000</v>
      </c>
      <c r="E137" t="s">
        <v>8</v>
      </c>
      <c r="F137" t="s">
        <v>20</v>
      </c>
    </row>
    <row r="138" spans="1:6" x14ac:dyDescent="0.25">
      <c r="A138">
        <v>137</v>
      </c>
      <c r="B138" t="s">
        <v>149</v>
      </c>
      <c r="C138" t="s">
        <v>452</v>
      </c>
      <c r="D138">
        <v>12700</v>
      </c>
      <c r="E138" t="s">
        <v>8</v>
      </c>
      <c r="F138" t="s">
        <v>9</v>
      </c>
    </row>
    <row r="139" spans="1:6" x14ac:dyDescent="0.25">
      <c r="A139">
        <v>138</v>
      </c>
      <c r="B139" t="s">
        <v>117</v>
      </c>
      <c r="C139" t="s">
        <v>453</v>
      </c>
      <c r="D139">
        <v>17700</v>
      </c>
      <c r="E139" t="s">
        <v>38</v>
      </c>
      <c r="F139" t="s">
        <v>9</v>
      </c>
    </row>
    <row r="140" spans="1:6" x14ac:dyDescent="0.25">
      <c r="A140">
        <v>139</v>
      </c>
      <c r="B140" t="s">
        <v>400</v>
      </c>
      <c r="C140" t="s">
        <v>454</v>
      </c>
      <c r="D140">
        <v>18100</v>
      </c>
      <c r="E140" t="s">
        <v>8</v>
      </c>
      <c r="F140" t="s">
        <v>9</v>
      </c>
    </row>
    <row r="141" spans="1:6" x14ac:dyDescent="0.25">
      <c r="A141">
        <v>140</v>
      </c>
      <c r="B141" t="s">
        <v>327</v>
      </c>
      <c r="C141" t="s">
        <v>455</v>
      </c>
      <c r="D141">
        <v>39000</v>
      </c>
      <c r="E141" t="s">
        <v>8</v>
      </c>
      <c r="F141" t="s">
        <v>9</v>
      </c>
    </row>
    <row r="142" spans="1:6" x14ac:dyDescent="0.25">
      <c r="A142">
        <v>141</v>
      </c>
      <c r="B142" t="s">
        <v>202</v>
      </c>
      <c r="C142" t="s">
        <v>456</v>
      </c>
      <c r="D142">
        <v>31100</v>
      </c>
      <c r="E142" t="s">
        <v>8</v>
      </c>
      <c r="F142" t="s">
        <v>9</v>
      </c>
    </row>
    <row r="143" spans="1:6" x14ac:dyDescent="0.25">
      <c r="A143">
        <v>142</v>
      </c>
      <c r="B143" t="s">
        <v>342</v>
      </c>
      <c r="C143" t="s">
        <v>457</v>
      </c>
      <c r="D143">
        <v>18800</v>
      </c>
      <c r="E143" t="s">
        <v>8</v>
      </c>
      <c r="F143" t="s">
        <v>9</v>
      </c>
    </row>
    <row r="144" spans="1:6" x14ac:dyDescent="0.25">
      <c r="A144">
        <v>143</v>
      </c>
      <c r="B144" t="s">
        <v>262</v>
      </c>
      <c r="C144" t="s">
        <v>458</v>
      </c>
      <c r="D144">
        <v>5100</v>
      </c>
      <c r="E144" t="s">
        <v>8</v>
      </c>
      <c r="F144" t="s">
        <v>9</v>
      </c>
    </row>
    <row r="145" spans="1:6" x14ac:dyDescent="0.25">
      <c r="A145">
        <v>144</v>
      </c>
      <c r="B145" t="s">
        <v>81</v>
      </c>
      <c r="C145" t="s">
        <v>459</v>
      </c>
      <c r="D145">
        <v>94800</v>
      </c>
      <c r="E145" t="s">
        <v>8</v>
      </c>
      <c r="F145" t="s">
        <v>9</v>
      </c>
    </row>
    <row r="146" spans="1:6" x14ac:dyDescent="0.25">
      <c r="A146">
        <v>145</v>
      </c>
      <c r="B146" t="s">
        <v>216</v>
      </c>
      <c r="C146" t="s">
        <v>448</v>
      </c>
      <c r="D146">
        <v>32200</v>
      </c>
      <c r="E146" t="s">
        <v>8</v>
      </c>
      <c r="F146" t="s">
        <v>9</v>
      </c>
    </row>
    <row r="147" spans="1:6" x14ac:dyDescent="0.25">
      <c r="A147">
        <v>146</v>
      </c>
      <c r="B147" t="s">
        <v>58</v>
      </c>
      <c r="C147" t="s">
        <v>449</v>
      </c>
      <c r="D147">
        <v>75300</v>
      </c>
      <c r="E147" t="s">
        <v>8</v>
      </c>
      <c r="F147" t="s">
        <v>9</v>
      </c>
    </row>
    <row r="148" spans="1:6" x14ac:dyDescent="0.25">
      <c r="A148">
        <v>147</v>
      </c>
      <c r="B148" t="s">
        <v>69</v>
      </c>
      <c r="C148" t="s">
        <v>450</v>
      </c>
      <c r="D148">
        <v>48300</v>
      </c>
      <c r="E148" t="s">
        <v>8</v>
      </c>
      <c r="F148" t="s">
        <v>9</v>
      </c>
    </row>
    <row r="149" spans="1:6" x14ac:dyDescent="0.25">
      <c r="A149">
        <v>148</v>
      </c>
      <c r="B149" t="s">
        <v>260</v>
      </c>
      <c r="C149" t="s">
        <v>451</v>
      </c>
      <c r="D149">
        <v>18800</v>
      </c>
      <c r="E149" t="s">
        <v>8</v>
      </c>
      <c r="F149" t="s">
        <v>9</v>
      </c>
    </row>
    <row r="150" spans="1:6" x14ac:dyDescent="0.25">
      <c r="A150">
        <v>149</v>
      </c>
      <c r="B150" t="s">
        <v>249</v>
      </c>
      <c r="C150" t="s">
        <v>452</v>
      </c>
      <c r="D150">
        <v>6600</v>
      </c>
      <c r="E150" t="s">
        <v>8</v>
      </c>
      <c r="F150" t="s">
        <v>9</v>
      </c>
    </row>
    <row r="151" spans="1:6" x14ac:dyDescent="0.25">
      <c r="A151">
        <v>150</v>
      </c>
      <c r="B151" t="s">
        <v>146</v>
      </c>
      <c r="C151" t="s">
        <v>453</v>
      </c>
      <c r="D151">
        <v>6500</v>
      </c>
      <c r="E151" t="s">
        <v>8</v>
      </c>
      <c r="F151" t="s">
        <v>9</v>
      </c>
    </row>
    <row r="152" spans="1:6" x14ac:dyDescent="0.25">
      <c r="A152">
        <v>151</v>
      </c>
      <c r="B152" t="s">
        <v>267</v>
      </c>
      <c r="C152" t="s">
        <v>454</v>
      </c>
      <c r="D152">
        <v>35500</v>
      </c>
      <c r="E152" t="s">
        <v>8</v>
      </c>
      <c r="F152" t="s">
        <v>9</v>
      </c>
    </row>
    <row r="153" spans="1:6" x14ac:dyDescent="0.25">
      <c r="A153">
        <v>152</v>
      </c>
      <c r="B153" t="s">
        <v>216</v>
      </c>
      <c r="C153" t="s">
        <v>455</v>
      </c>
      <c r="D153">
        <v>20800</v>
      </c>
      <c r="E153" t="s">
        <v>8</v>
      </c>
      <c r="F153" t="s">
        <v>9</v>
      </c>
    </row>
    <row r="154" spans="1:6" x14ac:dyDescent="0.25">
      <c r="A154">
        <v>153</v>
      </c>
      <c r="B154" t="s">
        <v>323</v>
      </c>
      <c r="C154" t="s">
        <v>456</v>
      </c>
      <c r="D154">
        <v>36700</v>
      </c>
      <c r="E154" t="s">
        <v>23</v>
      </c>
      <c r="F154" t="s">
        <v>9</v>
      </c>
    </row>
    <row r="155" spans="1:6" x14ac:dyDescent="0.25">
      <c r="A155">
        <v>154</v>
      </c>
      <c r="B155" t="s">
        <v>205</v>
      </c>
      <c r="C155" t="s">
        <v>457</v>
      </c>
      <c r="D155">
        <v>24900</v>
      </c>
      <c r="E155" t="s">
        <v>8</v>
      </c>
      <c r="F155" t="s">
        <v>9</v>
      </c>
    </row>
    <row r="156" spans="1:6" x14ac:dyDescent="0.25">
      <c r="A156">
        <v>155</v>
      </c>
      <c r="B156" t="s">
        <v>278</v>
      </c>
      <c r="C156" t="s">
        <v>458</v>
      </c>
      <c r="D156">
        <v>10000</v>
      </c>
      <c r="E156" t="s">
        <v>8</v>
      </c>
      <c r="F156" t="s">
        <v>9</v>
      </c>
    </row>
    <row r="157" spans="1:6" x14ac:dyDescent="0.25">
      <c r="A157">
        <v>156</v>
      </c>
      <c r="B157" t="s">
        <v>139</v>
      </c>
      <c r="C157" t="s">
        <v>459</v>
      </c>
      <c r="D157">
        <v>16800</v>
      </c>
      <c r="E157" t="s">
        <v>8</v>
      </c>
      <c r="F157" t="s">
        <v>9</v>
      </c>
    </row>
    <row r="158" spans="1:6" x14ac:dyDescent="0.25">
      <c r="A158">
        <v>157</v>
      </c>
      <c r="B158" t="s">
        <v>35</v>
      </c>
      <c r="C158" t="s">
        <v>448</v>
      </c>
      <c r="D158">
        <v>9100</v>
      </c>
      <c r="E158" t="s">
        <v>8</v>
      </c>
      <c r="F158" t="s">
        <v>9</v>
      </c>
    </row>
    <row r="159" spans="1:6" x14ac:dyDescent="0.25">
      <c r="A159">
        <v>158</v>
      </c>
      <c r="B159" t="s">
        <v>182</v>
      </c>
      <c r="C159" t="s">
        <v>449</v>
      </c>
      <c r="D159">
        <v>16200</v>
      </c>
      <c r="E159" t="s">
        <v>8</v>
      </c>
      <c r="F159" t="s">
        <v>9</v>
      </c>
    </row>
    <row r="160" spans="1:6" x14ac:dyDescent="0.25">
      <c r="A160">
        <v>159</v>
      </c>
      <c r="B160" t="s">
        <v>139</v>
      </c>
      <c r="C160" t="s">
        <v>450</v>
      </c>
      <c r="D160">
        <v>118900</v>
      </c>
      <c r="E160" t="s">
        <v>8</v>
      </c>
      <c r="F160" t="s">
        <v>9</v>
      </c>
    </row>
    <row r="161" spans="1:6" x14ac:dyDescent="0.25">
      <c r="A161">
        <v>160</v>
      </c>
      <c r="B161" t="s">
        <v>232</v>
      </c>
      <c r="C161" t="s">
        <v>451</v>
      </c>
      <c r="D161">
        <v>23800</v>
      </c>
      <c r="E161" t="s">
        <v>8</v>
      </c>
      <c r="F161" t="s">
        <v>9</v>
      </c>
    </row>
    <row r="162" spans="1:6" x14ac:dyDescent="0.25">
      <c r="A162">
        <v>161</v>
      </c>
      <c r="B162" t="s">
        <v>186</v>
      </c>
      <c r="C162" t="s">
        <v>452</v>
      </c>
      <c r="D162">
        <v>56400</v>
      </c>
      <c r="E162" t="s">
        <v>8</v>
      </c>
      <c r="F162" t="s">
        <v>9</v>
      </c>
    </row>
    <row r="163" spans="1:6" x14ac:dyDescent="0.25">
      <c r="A163">
        <v>162</v>
      </c>
      <c r="B163" t="s">
        <v>391</v>
      </c>
      <c r="C163" t="s">
        <v>453</v>
      </c>
      <c r="D163">
        <v>40400</v>
      </c>
      <c r="E163" t="s">
        <v>8</v>
      </c>
      <c r="F163" t="s">
        <v>20</v>
      </c>
    </row>
    <row r="164" spans="1:6" x14ac:dyDescent="0.25">
      <c r="A164">
        <v>163</v>
      </c>
      <c r="B164" t="s">
        <v>372</v>
      </c>
      <c r="C164" t="s">
        <v>454</v>
      </c>
      <c r="D164">
        <v>13000</v>
      </c>
      <c r="E164" t="s">
        <v>8</v>
      </c>
      <c r="F164" t="s">
        <v>9</v>
      </c>
    </row>
    <row r="165" spans="1:6" x14ac:dyDescent="0.25">
      <c r="A165">
        <v>164</v>
      </c>
      <c r="B165" t="s">
        <v>37</v>
      </c>
      <c r="C165" t="s">
        <v>455</v>
      </c>
      <c r="D165">
        <v>10600</v>
      </c>
      <c r="E165" t="s">
        <v>8</v>
      </c>
      <c r="F165" t="s">
        <v>9</v>
      </c>
    </row>
    <row r="166" spans="1:6" x14ac:dyDescent="0.25">
      <c r="A166">
        <v>165</v>
      </c>
      <c r="B166" t="s">
        <v>134</v>
      </c>
      <c r="C166" t="s">
        <v>456</v>
      </c>
      <c r="D166">
        <v>23300</v>
      </c>
      <c r="E166" t="s">
        <v>8</v>
      </c>
      <c r="F166" t="s">
        <v>9</v>
      </c>
    </row>
    <row r="167" spans="1:6" x14ac:dyDescent="0.25">
      <c r="A167">
        <v>166</v>
      </c>
      <c r="B167" t="s">
        <v>389</v>
      </c>
      <c r="C167" t="s">
        <v>457</v>
      </c>
      <c r="D167">
        <v>51100</v>
      </c>
      <c r="E167" t="s">
        <v>8</v>
      </c>
      <c r="F167" t="s">
        <v>9</v>
      </c>
    </row>
    <row r="168" spans="1:6" x14ac:dyDescent="0.25">
      <c r="A168">
        <v>167</v>
      </c>
      <c r="B168" t="s">
        <v>264</v>
      </c>
      <c r="C168" t="s">
        <v>458</v>
      </c>
      <c r="D168">
        <v>12700</v>
      </c>
      <c r="E168" t="s">
        <v>8</v>
      </c>
      <c r="F168" t="s">
        <v>9</v>
      </c>
    </row>
    <row r="169" spans="1:6" x14ac:dyDescent="0.25">
      <c r="A169">
        <v>168</v>
      </c>
      <c r="B169" t="s">
        <v>267</v>
      </c>
      <c r="C169" t="s">
        <v>459</v>
      </c>
      <c r="D169">
        <v>8700</v>
      </c>
      <c r="E169" t="s">
        <v>23</v>
      </c>
      <c r="F169" t="s">
        <v>9</v>
      </c>
    </row>
    <row r="170" spans="1:6" x14ac:dyDescent="0.25">
      <c r="A170">
        <v>169</v>
      </c>
      <c r="B170" t="s">
        <v>161</v>
      </c>
      <c r="C170" t="s">
        <v>448</v>
      </c>
      <c r="D170">
        <v>13400</v>
      </c>
      <c r="E170" t="s">
        <v>8</v>
      </c>
      <c r="F170" t="s">
        <v>9</v>
      </c>
    </row>
    <row r="171" spans="1:6" x14ac:dyDescent="0.25">
      <c r="A171">
        <v>170</v>
      </c>
      <c r="B171" t="s">
        <v>213</v>
      </c>
      <c r="C171" t="s">
        <v>449</v>
      </c>
      <c r="D171">
        <v>35800</v>
      </c>
      <c r="E171" t="s">
        <v>38</v>
      </c>
      <c r="F171" t="s">
        <v>9</v>
      </c>
    </row>
    <row r="172" spans="1:6" x14ac:dyDescent="0.25">
      <c r="A172">
        <v>171</v>
      </c>
      <c r="B172" t="s">
        <v>311</v>
      </c>
      <c r="C172" t="s">
        <v>450</v>
      </c>
      <c r="D172">
        <v>9600</v>
      </c>
      <c r="E172" t="s">
        <v>23</v>
      </c>
      <c r="F172" t="s">
        <v>9</v>
      </c>
    </row>
    <row r="173" spans="1:6" x14ac:dyDescent="0.25">
      <c r="A173">
        <v>172</v>
      </c>
      <c r="B173" t="s">
        <v>177</v>
      </c>
      <c r="C173" t="s">
        <v>451</v>
      </c>
      <c r="D173">
        <v>10500</v>
      </c>
      <c r="E173" t="s">
        <v>8</v>
      </c>
      <c r="F173" t="s">
        <v>9</v>
      </c>
    </row>
    <row r="174" spans="1:6" x14ac:dyDescent="0.25">
      <c r="A174">
        <v>173</v>
      </c>
      <c r="B174" t="s">
        <v>342</v>
      </c>
      <c r="C174" t="s">
        <v>452</v>
      </c>
      <c r="D174">
        <v>20900</v>
      </c>
      <c r="E174" t="s">
        <v>8</v>
      </c>
      <c r="F174" t="s">
        <v>9</v>
      </c>
    </row>
    <row r="175" spans="1:6" x14ac:dyDescent="0.25">
      <c r="A175">
        <v>174</v>
      </c>
      <c r="B175" t="s">
        <v>156</v>
      </c>
      <c r="C175" t="s">
        <v>453</v>
      </c>
      <c r="D175">
        <v>25100</v>
      </c>
      <c r="E175" t="s">
        <v>8</v>
      </c>
      <c r="F175" t="s">
        <v>9</v>
      </c>
    </row>
    <row r="176" spans="1:6" x14ac:dyDescent="0.25">
      <c r="A176">
        <v>175</v>
      </c>
      <c r="B176" t="s">
        <v>302</v>
      </c>
      <c r="C176" t="s">
        <v>454</v>
      </c>
      <c r="D176">
        <v>5200</v>
      </c>
      <c r="E176" t="s">
        <v>8</v>
      </c>
      <c r="F176" t="s">
        <v>9</v>
      </c>
    </row>
    <row r="177" spans="1:6" x14ac:dyDescent="0.25">
      <c r="A177">
        <v>176</v>
      </c>
      <c r="B177" t="s">
        <v>241</v>
      </c>
      <c r="C177" t="s">
        <v>455</v>
      </c>
      <c r="D177">
        <v>11500</v>
      </c>
      <c r="E177" t="s">
        <v>8</v>
      </c>
      <c r="F177" t="s">
        <v>9</v>
      </c>
    </row>
    <row r="178" spans="1:6" x14ac:dyDescent="0.25">
      <c r="A178">
        <v>177</v>
      </c>
      <c r="B178" t="s">
        <v>131</v>
      </c>
      <c r="C178" t="s">
        <v>456</v>
      </c>
      <c r="D178">
        <v>40200</v>
      </c>
      <c r="E178" t="s">
        <v>23</v>
      </c>
      <c r="F178" t="s">
        <v>9</v>
      </c>
    </row>
    <row r="179" spans="1:6" x14ac:dyDescent="0.25">
      <c r="A179">
        <v>178</v>
      </c>
      <c r="B179" t="s">
        <v>257</v>
      </c>
      <c r="C179" t="s">
        <v>457</v>
      </c>
      <c r="D179">
        <v>29500</v>
      </c>
      <c r="E179" t="s">
        <v>8</v>
      </c>
      <c r="F179" t="s">
        <v>9</v>
      </c>
    </row>
    <row r="180" spans="1:6" x14ac:dyDescent="0.25">
      <c r="A180">
        <v>179</v>
      </c>
      <c r="B180" t="s">
        <v>91</v>
      </c>
      <c r="C180" t="s">
        <v>458</v>
      </c>
      <c r="D180">
        <v>120100</v>
      </c>
      <c r="E180" t="s">
        <v>23</v>
      </c>
      <c r="F180" t="s">
        <v>9</v>
      </c>
    </row>
    <row r="181" spans="1:6" x14ac:dyDescent="0.25">
      <c r="A181">
        <v>180</v>
      </c>
      <c r="B181" t="s">
        <v>131</v>
      </c>
      <c r="C181" t="s">
        <v>459</v>
      </c>
      <c r="D181">
        <v>6300</v>
      </c>
      <c r="E181" t="s">
        <v>8</v>
      </c>
      <c r="F181" t="s">
        <v>9</v>
      </c>
    </row>
    <row r="182" spans="1:6" x14ac:dyDescent="0.25">
      <c r="A182">
        <v>181</v>
      </c>
      <c r="B182" t="s">
        <v>361</v>
      </c>
      <c r="C182" t="s">
        <v>448</v>
      </c>
      <c r="D182">
        <v>97100</v>
      </c>
      <c r="E182" t="s">
        <v>8</v>
      </c>
      <c r="F182" t="s">
        <v>9</v>
      </c>
    </row>
    <row r="183" spans="1:6" x14ac:dyDescent="0.25">
      <c r="A183">
        <v>182</v>
      </c>
      <c r="B183" t="s">
        <v>144</v>
      </c>
      <c r="C183" t="s">
        <v>449</v>
      </c>
      <c r="D183">
        <v>37400</v>
      </c>
      <c r="E183" t="s">
        <v>8</v>
      </c>
      <c r="F183" t="s">
        <v>9</v>
      </c>
    </row>
    <row r="184" spans="1:6" x14ac:dyDescent="0.25">
      <c r="A184">
        <v>183</v>
      </c>
      <c r="B184" t="s">
        <v>57</v>
      </c>
      <c r="C184" t="s">
        <v>450</v>
      </c>
      <c r="D184">
        <v>27300</v>
      </c>
      <c r="E184" t="s">
        <v>8</v>
      </c>
      <c r="F184" t="s">
        <v>9</v>
      </c>
    </row>
    <row r="185" spans="1:6" x14ac:dyDescent="0.25">
      <c r="A185">
        <v>184</v>
      </c>
      <c r="B185" t="s">
        <v>71</v>
      </c>
      <c r="C185" t="s">
        <v>451</v>
      </c>
      <c r="D185">
        <v>8600</v>
      </c>
      <c r="E185" t="s">
        <v>8</v>
      </c>
      <c r="F185" t="s">
        <v>9</v>
      </c>
    </row>
    <row r="186" spans="1:6" x14ac:dyDescent="0.25">
      <c r="A186">
        <v>185</v>
      </c>
      <c r="B186" t="s">
        <v>147</v>
      </c>
      <c r="C186" t="s">
        <v>452</v>
      </c>
      <c r="D186">
        <v>8600</v>
      </c>
      <c r="E186" t="s">
        <v>8</v>
      </c>
      <c r="F186" t="s">
        <v>9</v>
      </c>
    </row>
    <row r="187" spans="1:6" x14ac:dyDescent="0.25">
      <c r="A187">
        <v>186</v>
      </c>
      <c r="B187" t="s">
        <v>134</v>
      </c>
      <c r="C187" t="s">
        <v>453</v>
      </c>
      <c r="D187">
        <v>5700</v>
      </c>
      <c r="E187" t="s">
        <v>8</v>
      </c>
      <c r="F187" t="s">
        <v>9</v>
      </c>
    </row>
    <row r="188" spans="1:6" x14ac:dyDescent="0.25">
      <c r="A188">
        <v>187</v>
      </c>
      <c r="B188" t="s">
        <v>421</v>
      </c>
      <c r="C188" t="s">
        <v>454</v>
      </c>
      <c r="D188">
        <v>12500</v>
      </c>
      <c r="E188" t="s">
        <v>8</v>
      </c>
      <c r="F188" t="s">
        <v>9</v>
      </c>
    </row>
    <row r="189" spans="1:6" x14ac:dyDescent="0.25">
      <c r="A189">
        <v>188</v>
      </c>
      <c r="B189" t="s">
        <v>104</v>
      </c>
      <c r="C189" t="s">
        <v>455</v>
      </c>
      <c r="D189">
        <v>39900</v>
      </c>
      <c r="E189" t="s">
        <v>8</v>
      </c>
      <c r="F189" t="s">
        <v>9</v>
      </c>
    </row>
    <row r="190" spans="1:6" x14ac:dyDescent="0.25">
      <c r="A190">
        <v>189</v>
      </c>
      <c r="B190" t="s">
        <v>144</v>
      </c>
      <c r="C190" t="s">
        <v>456</v>
      </c>
      <c r="D190">
        <v>22400</v>
      </c>
      <c r="E190" t="s">
        <v>23</v>
      </c>
      <c r="F190" t="s">
        <v>9</v>
      </c>
    </row>
    <row r="191" spans="1:6" x14ac:dyDescent="0.25">
      <c r="A191">
        <v>190</v>
      </c>
      <c r="B191" t="s">
        <v>420</v>
      </c>
      <c r="C191" t="s">
        <v>457</v>
      </c>
      <c r="D191">
        <v>24800</v>
      </c>
      <c r="E191" t="s">
        <v>8</v>
      </c>
      <c r="F191" t="s">
        <v>20</v>
      </c>
    </row>
    <row r="192" spans="1:6" x14ac:dyDescent="0.25">
      <c r="A192">
        <v>191</v>
      </c>
      <c r="B192" t="s">
        <v>286</v>
      </c>
      <c r="C192" t="s">
        <v>448</v>
      </c>
      <c r="D192">
        <v>450000</v>
      </c>
      <c r="E192" t="s">
        <v>23</v>
      </c>
      <c r="F192" t="s">
        <v>9</v>
      </c>
    </row>
    <row r="193" spans="1:6" x14ac:dyDescent="0.25">
      <c r="A193">
        <v>192</v>
      </c>
      <c r="B193" t="s">
        <v>105</v>
      </c>
      <c r="C193" t="s">
        <v>459</v>
      </c>
      <c r="D193">
        <v>5000</v>
      </c>
      <c r="E193" t="s">
        <v>8</v>
      </c>
      <c r="F193" t="s">
        <v>9</v>
      </c>
    </row>
    <row r="194" spans="1:6" x14ac:dyDescent="0.25">
      <c r="A194">
        <v>193</v>
      </c>
      <c r="B194" t="s">
        <v>50</v>
      </c>
      <c r="C194" t="s">
        <v>448</v>
      </c>
      <c r="D194">
        <v>5000</v>
      </c>
      <c r="E194" t="s">
        <v>8</v>
      </c>
      <c r="F194" t="s">
        <v>9</v>
      </c>
    </row>
    <row r="195" spans="1:6" x14ac:dyDescent="0.25">
      <c r="A195">
        <v>194</v>
      </c>
      <c r="B195" t="s">
        <v>46</v>
      </c>
      <c r="C195" t="s">
        <v>449</v>
      </c>
      <c r="D195">
        <v>29900</v>
      </c>
      <c r="E195" t="s">
        <v>8</v>
      </c>
      <c r="F195" t="s">
        <v>9</v>
      </c>
    </row>
    <row r="196" spans="1:6" x14ac:dyDescent="0.25">
      <c r="A196">
        <v>195</v>
      </c>
      <c r="B196" t="s">
        <v>37</v>
      </c>
      <c r="C196" t="s">
        <v>450</v>
      </c>
      <c r="D196">
        <v>13600</v>
      </c>
      <c r="E196" t="s">
        <v>38</v>
      </c>
      <c r="F196" t="s">
        <v>20</v>
      </c>
    </row>
    <row r="197" spans="1:6" x14ac:dyDescent="0.25">
      <c r="A197">
        <v>196</v>
      </c>
      <c r="B197" t="s">
        <v>269</v>
      </c>
      <c r="C197" t="s">
        <v>451</v>
      </c>
      <c r="D197">
        <v>63500</v>
      </c>
      <c r="E197" t="s">
        <v>8</v>
      </c>
      <c r="F197" t="s">
        <v>9</v>
      </c>
    </row>
    <row r="198" spans="1:6" x14ac:dyDescent="0.25">
      <c r="A198">
        <v>197</v>
      </c>
      <c r="B198" t="s">
        <v>221</v>
      </c>
      <c r="C198" t="s">
        <v>452</v>
      </c>
      <c r="D198">
        <v>23000</v>
      </c>
      <c r="E198" t="s">
        <v>8</v>
      </c>
      <c r="F198" t="s">
        <v>20</v>
      </c>
    </row>
    <row r="199" spans="1:6" x14ac:dyDescent="0.25">
      <c r="A199">
        <v>198</v>
      </c>
      <c r="B199" t="s">
        <v>267</v>
      </c>
      <c r="C199" t="s">
        <v>453</v>
      </c>
      <c r="D199">
        <v>18300</v>
      </c>
      <c r="E199" t="s">
        <v>8</v>
      </c>
      <c r="F199" t="s">
        <v>9</v>
      </c>
    </row>
    <row r="200" spans="1:6" x14ac:dyDescent="0.25">
      <c r="A200">
        <v>199</v>
      </c>
      <c r="B200" t="s">
        <v>51</v>
      </c>
      <c r="C200" t="s">
        <v>454</v>
      </c>
      <c r="D200">
        <v>59700</v>
      </c>
      <c r="E200" t="s">
        <v>8</v>
      </c>
      <c r="F200" t="s">
        <v>9</v>
      </c>
    </row>
    <row r="201" spans="1:6" x14ac:dyDescent="0.25">
      <c r="A201">
        <v>200</v>
      </c>
      <c r="B201" t="s">
        <v>179</v>
      </c>
      <c r="C201" t="s">
        <v>455</v>
      </c>
      <c r="D201">
        <v>53800</v>
      </c>
      <c r="E201" t="s">
        <v>8</v>
      </c>
      <c r="F201" t="s">
        <v>9</v>
      </c>
    </row>
    <row r="202" spans="1:6" x14ac:dyDescent="0.25">
      <c r="A202">
        <v>201</v>
      </c>
      <c r="B202" t="s">
        <v>62</v>
      </c>
      <c r="C202" t="s">
        <v>456</v>
      </c>
      <c r="D202">
        <v>6900</v>
      </c>
      <c r="E202" t="s">
        <v>8</v>
      </c>
      <c r="F202" t="s">
        <v>9</v>
      </c>
    </row>
    <row r="203" spans="1:6" x14ac:dyDescent="0.25">
      <c r="A203">
        <v>202</v>
      </c>
      <c r="B203" t="s">
        <v>404</v>
      </c>
      <c r="C203" t="s">
        <v>457</v>
      </c>
      <c r="D203">
        <v>14200</v>
      </c>
      <c r="E203" t="s">
        <v>8</v>
      </c>
      <c r="F203" t="s">
        <v>20</v>
      </c>
    </row>
    <row r="204" spans="1:6" x14ac:dyDescent="0.25">
      <c r="A204">
        <v>203</v>
      </c>
      <c r="B204" t="s">
        <v>124</v>
      </c>
      <c r="C204" t="s">
        <v>458</v>
      </c>
      <c r="D204">
        <v>35200</v>
      </c>
      <c r="E204" t="s">
        <v>8</v>
      </c>
      <c r="F204" t="s">
        <v>20</v>
      </c>
    </row>
    <row r="205" spans="1:6" x14ac:dyDescent="0.25">
      <c r="A205">
        <v>204</v>
      </c>
      <c r="B205" t="s">
        <v>74</v>
      </c>
      <c r="C205" t="s">
        <v>459</v>
      </c>
      <c r="D205">
        <v>12600</v>
      </c>
      <c r="E205" t="s">
        <v>8</v>
      </c>
      <c r="F205" t="s">
        <v>9</v>
      </c>
    </row>
    <row r="206" spans="1:6" x14ac:dyDescent="0.25">
      <c r="A206">
        <v>205</v>
      </c>
      <c r="B206" t="s">
        <v>318</v>
      </c>
      <c r="C206" t="s">
        <v>448</v>
      </c>
      <c r="D206">
        <v>9400</v>
      </c>
      <c r="E206" t="s">
        <v>8</v>
      </c>
      <c r="F206" t="s">
        <v>9</v>
      </c>
    </row>
    <row r="207" spans="1:6" x14ac:dyDescent="0.25">
      <c r="A207">
        <v>206</v>
      </c>
      <c r="B207" t="s">
        <v>194</v>
      </c>
      <c r="C207" t="s">
        <v>449</v>
      </c>
      <c r="D207">
        <v>22200</v>
      </c>
      <c r="E207" t="s">
        <v>8</v>
      </c>
      <c r="F207" t="s">
        <v>9</v>
      </c>
    </row>
    <row r="208" spans="1:6" x14ac:dyDescent="0.25">
      <c r="A208">
        <v>207</v>
      </c>
      <c r="B208" t="s">
        <v>372</v>
      </c>
      <c r="C208" t="s">
        <v>450</v>
      </c>
      <c r="D208">
        <v>25400</v>
      </c>
      <c r="E208" t="s">
        <v>8</v>
      </c>
      <c r="F208" t="s">
        <v>9</v>
      </c>
    </row>
    <row r="209" spans="1:6" x14ac:dyDescent="0.25">
      <c r="A209">
        <v>208</v>
      </c>
      <c r="B209" t="s">
        <v>247</v>
      </c>
      <c r="C209" t="s">
        <v>451</v>
      </c>
      <c r="D209">
        <v>30500</v>
      </c>
      <c r="E209" t="s">
        <v>8</v>
      </c>
      <c r="F209" t="s">
        <v>9</v>
      </c>
    </row>
    <row r="210" spans="1:6" x14ac:dyDescent="0.25">
      <c r="A210">
        <v>209</v>
      </c>
      <c r="B210" t="s">
        <v>169</v>
      </c>
      <c r="C210" t="s">
        <v>452</v>
      </c>
      <c r="D210">
        <v>28800</v>
      </c>
      <c r="E210" t="s">
        <v>38</v>
      </c>
      <c r="F210" t="s">
        <v>20</v>
      </c>
    </row>
    <row r="211" spans="1:6" x14ac:dyDescent="0.25">
      <c r="A211">
        <v>210</v>
      </c>
      <c r="B211" t="s">
        <v>394</v>
      </c>
      <c r="C211" t="s">
        <v>453</v>
      </c>
      <c r="D211">
        <v>43300</v>
      </c>
      <c r="E211" t="s">
        <v>8</v>
      </c>
      <c r="F211" t="s">
        <v>9</v>
      </c>
    </row>
    <row r="212" spans="1:6" x14ac:dyDescent="0.25">
      <c r="A212">
        <v>211</v>
      </c>
      <c r="B212" t="s">
        <v>54</v>
      </c>
      <c r="C212" t="s">
        <v>454</v>
      </c>
      <c r="D212">
        <v>29700</v>
      </c>
      <c r="E212" t="s">
        <v>8</v>
      </c>
      <c r="F212" t="s">
        <v>9</v>
      </c>
    </row>
    <row r="213" spans="1:6" x14ac:dyDescent="0.25">
      <c r="A213">
        <v>212</v>
      </c>
      <c r="B213" t="s">
        <v>250</v>
      </c>
      <c r="C213" t="s">
        <v>455</v>
      </c>
      <c r="D213">
        <v>25000</v>
      </c>
      <c r="E213" t="s">
        <v>23</v>
      </c>
      <c r="F213" t="s">
        <v>9</v>
      </c>
    </row>
    <row r="214" spans="1:6" x14ac:dyDescent="0.25">
      <c r="A214">
        <v>213</v>
      </c>
      <c r="B214" t="s">
        <v>267</v>
      </c>
      <c r="C214" t="s">
        <v>456</v>
      </c>
      <c r="D214">
        <v>17900</v>
      </c>
      <c r="E214" t="s">
        <v>8</v>
      </c>
      <c r="F214" t="s">
        <v>9</v>
      </c>
    </row>
    <row r="215" spans="1:6" x14ac:dyDescent="0.25">
      <c r="A215">
        <v>214</v>
      </c>
      <c r="B215" t="s">
        <v>365</v>
      </c>
      <c r="C215" t="s">
        <v>457</v>
      </c>
      <c r="D215">
        <v>36100</v>
      </c>
      <c r="E215" t="s">
        <v>23</v>
      </c>
      <c r="F215" t="s">
        <v>9</v>
      </c>
    </row>
    <row r="216" spans="1:6" x14ac:dyDescent="0.25">
      <c r="A216">
        <v>215</v>
      </c>
      <c r="B216" t="s">
        <v>360</v>
      </c>
      <c r="C216" t="s">
        <v>458</v>
      </c>
      <c r="D216">
        <v>44600</v>
      </c>
      <c r="E216" t="s">
        <v>8</v>
      </c>
      <c r="F216" t="s">
        <v>9</v>
      </c>
    </row>
    <row r="217" spans="1:6" x14ac:dyDescent="0.25">
      <c r="A217">
        <v>216</v>
      </c>
      <c r="B217" t="s">
        <v>100</v>
      </c>
      <c r="C217" t="s">
        <v>459</v>
      </c>
      <c r="D217">
        <v>85200</v>
      </c>
      <c r="E217" t="s">
        <v>8</v>
      </c>
      <c r="F217" t="s">
        <v>9</v>
      </c>
    </row>
    <row r="218" spans="1:6" x14ac:dyDescent="0.25">
      <c r="A218">
        <v>217</v>
      </c>
      <c r="B218" t="s">
        <v>82</v>
      </c>
      <c r="C218" t="s">
        <v>448</v>
      </c>
      <c r="D218">
        <v>8200</v>
      </c>
      <c r="E218" t="s">
        <v>8</v>
      </c>
      <c r="F218" t="s">
        <v>9</v>
      </c>
    </row>
    <row r="219" spans="1:6" x14ac:dyDescent="0.25">
      <c r="A219">
        <v>218</v>
      </c>
      <c r="B219" t="s">
        <v>114</v>
      </c>
      <c r="C219" t="s">
        <v>449</v>
      </c>
      <c r="D219">
        <v>17600</v>
      </c>
      <c r="E219" t="s">
        <v>8</v>
      </c>
      <c r="F219" t="s">
        <v>9</v>
      </c>
    </row>
    <row r="220" spans="1:6" x14ac:dyDescent="0.25">
      <c r="A220">
        <v>219</v>
      </c>
      <c r="B220" t="s">
        <v>160</v>
      </c>
      <c r="C220" t="s">
        <v>450</v>
      </c>
      <c r="D220">
        <v>8300</v>
      </c>
      <c r="E220" t="s">
        <v>8</v>
      </c>
      <c r="F220" t="s">
        <v>9</v>
      </c>
    </row>
    <row r="221" spans="1:6" x14ac:dyDescent="0.25">
      <c r="A221">
        <v>220</v>
      </c>
      <c r="B221" t="s">
        <v>150</v>
      </c>
      <c r="C221" t="s">
        <v>451</v>
      </c>
      <c r="D221">
        <v>10200</v>
      </c>
      <c r="E221" t="s">
        <v>8</v>
      </c>
      <c r="F221" t="s">
        <v>9</v>
      </c>
    </row>
    <row r="222" spans="1:6" x14ac:dyDescent="0.25">
      <c r="A222">
        <v>221</v>
      </c>
      <c r="B222" t="s">
        <v>94</v>
      </c>
      <c r="C222" t="s">
        <v>452</v>
      </c>
      <c r="D222">
        <v>11000</v>
      </c>
      <c r="E222" t="s">
        <v>8</v>
      </c>
      <c r="F222" t="s">
        <v>9</v>
      </c>
    </row>
    <row r="223" spans="1:6" x14ac:dyDescent="0.25">
      <c r="A223">
        <v>222</v>
      </c>
      <c r="B223" t="s">
        <v>24</v>
      </c>
      <c r="C223" t="s">
        <v>453</v>
      </c>
      <c r="D223">
        <v>32800</v>
      </c>
      <c r="E223" t="s">
        <v>8</v>
      </c>
      <c r="F223" t="s">
        <v>9</v>
      </c>
    </row>
    <row r="224" spans="1:6" x14ac:dyDescent="0.25">
      <c r="A224">
        <v>223</v>
      </c>
      <c r="B224" t="s">
        <v>81</v>
      </c>
      <c r="C224" t="s">
        <v>454</v>
      </c>
      <c r="D224">
        <v>7400</v>
      </c>
      <c r="E224" t="s">
        <v>8</v>
      </c>
      <c r="F224" t="s">
        <v>9</v>
      </c>
    </row>
    <row r="225" spans="1:6" x14ac:dyDescent="0.25">
      <c r="A225">
        <v>224</v>
      </c>
      <c r="B225" t="s">
        <v>357</v>
      </c>
      <c r="C225" t="s">
        <v>455</v>
      </c>
      <c r="D225">
        <v>23200</v>
      </c>
      <c r="E225" t="s">
        <v>23</v>
      </c>
      <c r="F225" t="s">
        <v>20</v>
      </c>
    </row>
    <row r="226" spans="1:6" x14ac:dyDescent="0.25">
      <c r="A226">
        <v>225</v>
      </c>
      <c r="B226" t="s">
        <v>36</v>
      </c>
      <c r="C226" t="s">
        <v>456</v>
      </c>
      <c r="D226">
        <v>16200</v>
      </c>
      <c r="E226" t="s">
        <v>8</v>
      </c>
      <c r="F226" t="s">
        <v>9</v>
      </c>
    </row>
    <row r="227" spans="1:6" x14ac:dyDescent="0.25">
      <c r="A227">
        <v>226</v>
      </c>
      <c r="B227" t="s">
        <v>265</v>
      </c>
      <c r="C227" t="s">
        <v>457</v>
      </c>
      <c r="D227">
        <v>65300</v>
      </c>
      <c r="E227" t="s">
        <v>8</v>
      </c>
      <c r="F227" t="s">
        <v>9</v>
      </c>
    </row>
    <row r="228" spans="1:6" x14ac:dyDescent="0.25">
      <c r="A228">
        <v>227</v>
      </c>
      <c r="B228" t="s">
        <v>185</v>
      </c>
      <c r="C228" t="s">
        <v>458</v>
      </c>
      <c r="D228">
        <v>106000</v>
      </c>
      <c r="E228" t="s">
        <v>8</v>
      </c>
      <c r="F228" t="s">
        <v>9</v>
      </c>
    </row>
    <row r="229" spans="1:6" x14ac:dyDescent="0.25">
      <c r="A229">
        <v>228</v>
      </c>
      <c r="B229" t="s">
        <v>91</v>
      </c>
      <c r="C229" t="s">
        <v>459</v>
      </c>
      <c r="D229">
        <v>23300</v>
      </c>
      <c r="E229" t="s">
        <v>8</v>
      </c>
      <c r="F229" t="s">
        <v>9</v>
      </c>
    </row>
    <row r="230" spans="1:6" x14ac:dyDescent="0.25">
      <c r="A230">
        <v>229</v>
      </c>
      <c r="B230" t="s">
        <v>269</v>
      </c>
      <c r="C230" t="s">
        <v>448</v>
      </c>
      <c r="D230">
        <v>40100</v>
      </c>
      <c r="E230" t="s">
        <v>8</v>
      </c>
      <c r="F230" t="s">
        <v>9</v>
      </c>
    </row>
    <row r="231" spans="1:6" x14ac:dyDescent="0.25">
      <c r="A231">
        <v>230</v>
      </c>
      <c r="B231" t="s">
        <v>226</v>
      </c>
      <c r="C231" t="s">
        <v>449</v>
      </c>
      <c r="D231">
        <v>30900</v>
      </c>
      <c r="E231" t="s">
        <v>8</v>
      </c>
      <c r="F231" t="s">
        <v>9</v>
      </c>
    </row>
    <row r="232" spans="1:6" x14ac:dyDescent="0.25">
      <c r="A232">
        <v>231</v>
      </c>
      <c r="B232" t="s">
        <v>359</v>
      </c>
      <c r="C232" t="s">
        <v>450</v>
      </c>
      <c r="D232">
        <v>12100</v>
      </c>
      <c r="E232" t="s">
        <v>8</v>
      </c>
      <c r="F232" t="s">
        <v>9</v>
      </c>
    </row>
    <row r="233" spans="1:6" x14ac:dyDescent="0.25">
      <c r="A233">
        <v>232</v>
      </c>
      <c r="B233" t="s">
        <v>343</v>
      </c>
      <c r="C233" t="s">
        <v>451</v>
      </c>
      <c r="D233">
        <v>12100</v>
      </c>
      <c r="E233" t="s">
        <v>8</v>
      </c>
      <c r="F233" t="s">
        <v>9</v>
      </c>
    </row>
    <row r="234" spans="1:6" x14ac:dyDescent="0.25">
      <c r="A234">
        <v>233</v>
      </c>
      <c r="B234" t="s">
        <v>199</v>
      </c>
      <c r="C234" t="s">
        <v>452</v>
      </c>
      <c r="D234">
        <v>28400</v>
      </c>
      <c r="E234" t="s">
        <v>8</v>
      </c>
      <c r="F234" t="s">
        <v>9</v>
      </c>
    </row>
    <row r="235" spans="1:6" x14ac:dyDescent="0.25">
      <c r="A235">
        <v>234</v>
      </c>
      <c r="B235" t="s">
        <v>229</v>
      </c>
      <c r="C235" t="s">
        <v>453</v>
      </c>
      <c r="D235">
        <v>34400</v>
      </c>
      <c r="E235" t="s">
        <v>8</v>
      </c>
      <c r="F235" t="s">
        <v>9</v>
      </c>
    </row>
    <row r="236" spans="1:6" x14ac:dyDescent="0.25">
      <c r="A236">
        <v>235</v>
      </c>
      <c r="B236" t="s">
        <v>202</v>
      </c>
      <c r="C236" t="s">
        <v>454</v>
      </c>
      <c r="D236">
        <v>15700</v>
      </c>
      <c r="E236" t="s">
        <v>23</v>
      </c>
      <c r="F236" t="s">
        <v>20</v>
      </c>
    </row>
    <row r="237" spans="1:6" x14ac:dyDescent="0.25">
      <c r="A237">
        <v>236</v>
      </c>
      <c r="B237" t="s">
        <v>265</v>
      </c>
      <c r="C237" t="s">
        <v>455</v>
      </c>
      <c r="D237">
        <v>14400</v>
      </c>
      <c r="E237" t="s">
        <v>8</v>
      </c>
      <c r="F237" t="s">
        <v>9</v>
      </c>
    </row>
    <row r="238" spans="1:6" x14ac:dyDescent="0.25">
      <c r="A238">
        <v>237</v>
      </c>
      <c r="B238" t="s">
        <v>306</v>
      </c>
      <c r="C238" t="s">
        <v>456</v>
      </c>
      <c r="D238">
        <v>69100</v>
      </c>
      <c r="E238" t="s">
        <v>8</v>
      </c>
      <c r="F238" t="s">
        <v>9</v>
      </c>
    </row>
    <row r="239" spans="1:6" x14ac:dyDescent="0.25">
      <c r="A239">
        <v>238</v>
      </c>
      <c r="B239" t="s">
        <v>220</v>
      </c>
      <c r="C239" t="s">
        <v>457</v>
      </c>
      <c r="D239">
        <v>6800</v>
      </c>
      <c r="E239" t="s">
        <v>8</v>
      </c>
      <c r="F239" t="s">
        <v>9</v>
      </c>
    </row>
    <row r="240" spans="1:6" x14ac:dyDescent="0.25">
      <c r="A240">
        <v>239</v>
      </c>
      <c r="B240" t="s">
        <v>389</v>
      </c>
      <c r="C240" t="s">
        <v>458</v>
      </c>
      <c r="D240">
        <v>14000</v>
      </c>
      <c r="E240" t="s">
        <v>8</v>
      </c>
      <c r="F240" t="s">
        <v>9</v>
      </c>
    </row>
    <row r="241" spans="1:6" x14ac:dyDescent="0.25">
      <c r="A241">
        <v>240</v>
      </c>
      <c r="B241" t="s">
        <v>215</v>
      </c>
      <c r="C241" t="s">
        <v>459</v>
      </c>
      <c r="D241">
        <v>11400</v>
      </c>
      <c r="E241" t="s">
        <v>8</v>
      </c>
      <c r="F241" t="s">
        <v>9</v>
      </c>
    </row>
    <row r="242" spans="1:6" x14ac:dyDescent="0.25">
      <c r="A242">
        <v>241</v>
      </c>
      <c r="B242" t="s">
        <v>96</v>
      </c>
      <c r="C242" t="s">
        <v>448</v>
      </c>
      <c r="D242">
        <v>37100</v>
      </c>
      <c r="E242" t="s">
        <v>8</v>
      </c>
      <c r="F242" t="s">
        <v>9</v>
      </c>
    </row>
    <row r="243" spans="1:6" x14ac:dyDescent="0.25">
      <c r="A243">
        <v>242</v>
      </c>
      <c r="B243" t="s">
        <v>53</v>
      </c>
      <c r="C243" t="s">
        <v>449</v>
      </c>
      <c r="D243">
        <v>17300</v>
      </c>
      <c r="E243" t="s">
        <v>8</v>
      </c>
      <c r="F243" t="s">
        <v>9</v>
      </c>
    </row>
    <row r="244" spans="1:6" x14ac:dyDescent="0.25">
      <c r="A244">
        <v>243</v>
      </c>
      <c r="B244" t="s">
        <v>397</v>
      </c>
      <c r="C244" t="s">
        <v>450</v>
      </c>
      <c r="D244">
        <v>83600</v>
      </c>
      <c r="E244" t="s">
        <v>8</v>
      </c>
      <c r="F244" t="s">
        <v>9</v>
      </c>
    </row>
    <row r="245" spans="1:6" x14ac:dyDescent="0.25">
      <c r="A245">
        <v>244</v>
      </c>
      <c r="B245" t="s">
        <v>360</v>
      </c>
      <c r="C245" t="s">
        <v>451</v>
      </c>
      <c r="D245">
        <v>40700</v>
      </c>
      <c r="E245" t="s">
        <v>8</v>
      </c>
      <c r="F245" t="s">
        <v>9</v>
      </c>
    </row>
    <row r="246" spans="1:6" x14ac:dyDescent="0.25">
      <c r="A246">
        <v>245</v>
      </c>
      <c r="B246" t="s">
        <v>323</v>
      </c>
      <c r="C246" t="s">
        <v>452</v>
      </c>
      <c r="D246">
        <v>18900</v>
      </c>
      <c r="E246" t="s">
        <v>8</v>
      </c>
      <c r="F246" t="s">
        <v>9</v>
      </c>
    </row>
    <row r="247" spans="1:6" x14ac:dyDescent="0.25">
      <c r="A247">
        <v>246</v>
      </c>
      <c r="B247" t="s">
        <v>113</v>
      </c>
      <c r="C247" t="s">
        <v>453</v>
      </c>
      <c r="D247">
        <v>84000</v>
      </c>
      <c r="E247" t="s">
        <v>8</v>
      </c>
      <c r="F247" t="s">
        <v>9</v>
      </c>
    </row>
    <row r="248" spans="1:6" x14ac:dyDescent="0.25">
      <c r="A248">
        <v>247</v>
      </c>
      <c r="B248" t="s">
        <v>30</v>
      </c>
      <c r="C248" t="s">
        <v>454</v>
      </c>
      <c r="D248">
        <v>31300</v>
      </c>
      <c r="E248" t="s">
        <v>8</v>
      </c>
      <c r="F248" t="s">
        <v>9</v>
      </c>
    </row>
    <row r="249" spans="1:6" x14ac:dyDescent="0.25">
      <c r="A249">
        <v>248</v>
      </c>
      <c r="B249" t="s">
        <v>253</v>
      </c>
      <c r="C249" t="s">
        <v>455</v>
      </c>
      <c r="D249">
        <v>9900</v>
      </c>
      <c r="E249" t="s">
        <v>8</v>
      </c>
      <c r="F249" t="s">
        <v>9</v>
      </c>
    </row>
    <row r="250" spans="1:6" x14ac:dyDescent="0.25">
      <c r="A250">
        <v>249</v>
      </c>
      <c r="B250" t="s">
        <v>327</v>
      </c>
      <c r="C250" t="s">
        <v>456</v>
      </c>
      <c r="D250">
        <v>33300</v>
      </c>
      <c r="E250" t="s">
        <v>38</v>
      </c>
      <c r="F250" t="s">
        <v>20</v>
      </c>
    </row>
    <row r="251" spans="1:6" x14ac:dyDescent="0.25">
      <c r="A251">
        <v>250</v>
      </c>
      <c r="B251" t="s">
        <v>129</v>
      </c>
      <c r="C251" t="s">
        <v>457</v>
      </c>
      <c r="D251">
        <v>13200</v>
      </c>
      <c r="E251" t="s">
        <v>8</v>
      </c>
      <c r="F251" t="s">
        <v>9</v>
      </c>
    </row>
    <row r="252" spans="1:6" x14ac:dyDescent="0.25">
      <c r="A252">
        <v>251</v>
      </c>
      <c r="B252" t="s">
        <v>141</v>
      </c>
      <c r="C252" t="s">
        <v>458</v>
      </c>
      <c r="D252">
        <v>14500</v>
      </c>
      <c r="E252" t="s">
        <v>8</v>
      </c>
      <c r="F252" t="s">
        <v>9</v>
      </c>
    </row>
    <row r="253" spans="1:6" x14ac:dyDescent="0.25">
      <c r="A253">
        <v>252</v>
      </c>
      <c r="B253" t="s">
        <v>52</v>
      </c>
      <c r="C253" t="s">
        <v>459</v>
      </c>
      <c r="D253">
        <v>51300</v>
      </c>
      <c r="E253" t="s">
        <v>38</v>
      </c>
      <c r="F253" t="s">
        <v>9</v>
      </c>
    </row>
    <row r="254" spans="1:6" x14ac:dyDescent="0.25">
      <c r="A254">
        <v>253</v>
      </c>
      <c r="B254" t="s">
        <v>87</v>
      </c>
      <c r="C254" t="s">
        <v>448</v>
      </c>
      <c r="D254">
        <v>70000</v>
      </c>
      <c r="E254" t="s">
        <v>8</v>
      </c>
      <c r="F254" t="s">
        <v>9</v>
      </c>
    </row>
    <row r="255" spans="1:6" x14ac:dyDescent="0.25">
      <c r="A255">
        <v>254</v>
      </c>
      <c r="B255" t="s">
        <v>176</v>
      </c>
      <c r="C255" t="s">
        <v>449</v>
      </c>
      <c r="D255">
        <v>34600</v>
      </c>
      <c r="E255" t="s">
        <v>38</v>
      </c>
      <c r="F255" t="s">
        <v>20</v>
      </c>
    </row>
    <row r="256" spans="1:6" x14ac:dyDescent="0.25">
      <c r="A256">
        <v>255</v>
      </c>
      <c r="B256" t="s">
        <v>369</v>
      </c>
      <c r="C256" t="s">
        <v>450</v>
      </c>
      <c r="D256">
        <v>5000</v>
      </c>
      <c r="E256" t="s">
        <v>8</v>
      </c>
      <c r="F256" t="s">
        <v>20</v>
      </c>
    </row>
    <row r="257" spans="1:6" x14ac:dyDescent="0.25">
      <c r="A257">
        <v>256</v>
      </c>
      <c r="B257" t="s">
        <v>302</v>
      </c>
      <c r="C257" t="s">
        <v>451</v>
      </c>
      <c r="D257">
        <v>12200</v>
      </c>
      <c r="E257" t="s">
        <v>23</v>
      </c>
      <c r="F257" t="s">
        <v>9</v>
      </c>
    </row>
    <row r="258" spans="1:6" x14ac:dyDescent="0.25">
      <c r="A258">
        <v>257</v>
      </c>
      <c r="B258" t="s">
        <v>79</v>
      </c>
      <c r="C258" t="s">
        <v>452</v>
      </c>
      <c r="D258">
        <v>36400</v>
      </c>
      <c r="E258" t="s">
        <v>8</v>
      </c>
      <c r="F258" t="s">
        <v>9</v>
      </c>
    </row>
    <row r="259" spans="1:6" x14ac:dyDescent="0.25">
      <c r="A259">
        <v>258</v>
      </c>
      <c r="B259" t="s">
        <v>74</v>
      </c>
      <c r="C259" t="s">
        <v>453</v>
      </c>
      <c r="D259">
        <v>35100</v>
      </c>
      <c r="E259" t="s">
        <v>8</v>
      </c>
      <c r="F259" t="s">
        <v>9</v>
      </c>
    </row>
    <row r="260" spans="1:6" x14ac:dyDescent="0.25">
      <c r="A260">
        <v>259</v>
      </c>
      <c r="B260" t="s">
        <v>288</v>
      </c>
      <c r="C260" t="s">
        <v>454</v>
      </c>
      <c r="D260">
        <v>45100</v>
      </c>
      <c r="E260" t="s">
        <v>8</v>
      </c>
      <c r="F260" t="s">
        <v>9</v>
      </c>
    </row>
    <row r="261" spans="1:6" x14ac:dyDescent="0.25">
      <c r="A261">
        <v>260</v>
      </c>
      <c r="B261" t="s">
        <v>181</v>
      </c>
      <c r="C261" t="s">
        <v>455</v>
      </c>
      <c r="D261">
        <v>5000</v>
      </c>
      <c r="E261" t="s">
        <v>8</v>
      </c>
      <c r="F261" t="s">
        <v>9</v>
      </c>
    </row>
    <row r="262" spans="1:6" x14ac:dyDescent="0.25">
      <c r="A262">
        <v>261</v>
      </c>
      <c r="B262" t="s">
        <v>351</v>
      </c>
      <c r="C262" t="s">
        <v>456</v>
      </c>
      <c r="D262">
        <v>9200</v>
      </c>
      <c r="E262" t="s">
        <v>8</v>
      </c>
      <c r="F262" t="s">
        <v>9</v>
      </c>
    </row>
    <row r="263" spans="1:6" x14ac:dyDescent="0.25">
      <c r="A263">
        <v>262</v>
      </c>
      <c r="B263" t="s">
        <v>252</v>
      </c>
      <c r="C263" t="s">
        <v>457</v>
      </c>
      <c r="D263">
        <v>38400</v>
      </c>
      <c r="E263" t="s">
        <v>8</v>
      </c>
      <c r="F263" t="s">
        <v>9</v>
      </c>
    </row>
    <row r="264" spans="1:6" x14ac:dyDescent="0.25">
      <c r="A264">
        <v>263</v>
      </c>
      <c r="B264" t="s">
        <v>328</v>
      </c>
      <c r="C264" t="s">
        <v>458</v>
      </c>
      <c r="D264">
        <v>6900</v>
      </c>
      <c r="E264" t="s">
        <v>8</v>
      </c>
      <c r="F264" t="s">
        <v>9</v>
      </c>
    </row>
    <row r="265" spans="1:6" x14ac:dyDescent="0.25">
      <c r="A265">
        <v>264</v>
      </c>
      <c r="B265" t="s">
        <v>271</v>
      </c>
      <c r="C265" t="s">
        <v>459</v>
      </c>
      <c r="D265">
        <v>17500</v>
      </c>
      <c r="E265" t="s">
        <v>8</v>
      </c>
      <c r="F265" t="s">
        <v>9</v>
      </c>
    </row>
    <row r="266" spans="1:6" x14ac:dyDescent="0.25">
      <c r="A266">
        <v>265</v>
      </c>
      <c r="B266" t="s">
        <v>204</v>
      </c>
      <c r="C266" t="s">
        <v>448</v>
      </c>
      <c r="D266">
        <v>15900</v>
      </c>
      <c r="E266" t="s">
        <v>8</v>
      </c>
      <c r="F266" t="s">
        <v>9</v>
      </c>
    </row>
    <row r="267" spans="1:6" x14ac:dyDescent="0.25">
      <c r="A267">
        <v>266</v>
      </c>
      <c r="B267" t="s">
        <v>255</v>
      </c>
      <c r="C267" t="s">
        <v>449</v>
      </c>
      <c r="D267">
        <v>7600</v>
      </c>
      <c r="E267" t="s">
        <v>8</v>
      </c>
      <c r="F267" t="s">
        <v>9</v>
      </c>
    </row>
    <row r="268" spans="1:6" x14ac:dyDescent="0.25">
      <c r="A268">
        <v>267</v>
      </c>
      <c r="B268" t="s">
        <v>87</v>
      </c>
      <c r="C268" t="s">
        <v>450</v>
      </c>
      <c r="D268">
        <v>42200</v>
      </c>
      <c r="E268" t="s">
        <v>8</v>
      </c>
      <c r="F268" t="s">
        <v>9</v>
      </c>
    </row>
    <row r="269" spans="1:6" x14ac:dyDescent="0.25">
      <c r="A269">
        <v>268</v>
      </c>
      <c r="B269" t="s">
        <v>162</v>
      </c>
      <c r="C269" t="s">
        <v>451</v>
      </c>
      <c r="D269">
        <v>13800</v>
      </c>
      <c r="E269" t="s">
        <v>8</v>
      </c>
      <c r="F269" t="s">
        <v>9</v>
      </c>
    </row>
    <row r="270" spans="1:6" x14ac:dyDescent="0.25">
      <c r="A270">
        <v>269</v>
      </c>
      <c r="B270" t="s">
        <v>358</v>
      </c>
      <c r="C270" t="s">
        <v>452</v>
      </c>
      <c r="D270">
        <v>37900</v>
      </c>
      <c r="E270" t="s">
        <v>8</v>
      </c>
      <c r="F270" t="s">
        <v>9</v>
      </c>
    </row>
    <row r="271" spans="1:6" x14ac:dyDescent="0.25">
      <c r="A271">
        <v>270</v>
      </c>
      <c r="B271" t="s">
        <v>153</v>
      </c>
      <c r="C271" t="s">
        <v>453</v>
      </c>
      <c r="D271">
        <v>40500</v>
      </c>
      <c r="E271" t="s">
        <v>8</v>
      </c>
      <c r="F271" t="s">
        <v>9</v>
      </c>
    </row>
    <row r="272" spans="1:6" x14ac:dyDescent="0.25">
      <c r="A272">
        <v>271</v>
      </c>
      <c r="B272" t="s">
        <v>217</v>
      </c>
      <c r="C272" t="s">
        <v>454</v>
      </c>
      <c r="D272">
        <v>31000</v>
      </c>
      <c r="E272" t="s">
        <v>8</v>
      </c>
      <c r="F272" t="s">
        <v>9</v>
      </c>
    </row>
    <row r="273" spans="1:6" x14ac:dyDescent="0.25">
      <c r="A273">
        <v>272</v>
      </c>
      <c r="B273" t="s">
        <v>237</v>
      </c>
      <c r="C273" t="s">
        <v>455</v>
      </c>
      <c r="D273">
        <v>5300</v>
      </c>
      <c r="E273" t="s">
        <v>8</v>
      </c>
      <c r="F273" t="s">
        <v>9</v>
      </c>
    </row>
    <row r="274" spans="1:6" x14ac:dyDescent="0.25">
      <c r="A274">
        <v>273</v>
      </c>
      <c r="B274" t="s">
        <v>324</v>
      </c>
      <c r="C274" t="s">
        <v>456</v>
      </c>
      <c r="D274">
        <v>17400</v>
      </c>
      <c r="E274" t="s">
        <v>38</v>
      </c>
      <c r="F274" t="s">
        <v>9</v>
      </c>
    </row>
    <row r="275" spans="1:6" x14ac:dyDescent="0.25">
      <c r="A275">
        <v>274</v>
      </c>
      <c r="B275" t="s">
        <v>256</v>
      </c>
      <c r="C275" t="s">
        <v>457</v>
      </c>
      <c r="D275">
        <v>7300</v>
      </c>
      <c r="E275" t="s">
        <v>8</v>
      </c>
      <c r="F275" t="s">
        <v>9</v>
      </c>
    </row>
    <row r="276" spans="1:6" x14ac:dyDescent="0.25">
      <c r="A276">
        <v>275</v>
      </c>
      <c r="B276" t="s">
        <v>363</v>
      </c>
      <c r="C276" t="s">
        <v>458</v>
      </c>
      <c r="D276">
        <v>5300</v>
      </c>
      <c r="E276" t="s">
        <v>8</v>
      </c>
      <c r="F276" t="s">
        <v>9</v>
      </c>
    </row>
    <row r="277" spans="1:6" x14ac:dyDescent="0.25">
      <c r="A277">
        <v>276</v>
      </c>
      <c r="B277" t="s">
        <v>180</v>
      </c>
      <c r="C277" t="s">
        <v>459</v>
      </c>
      <c r="D277">
        <v>10600</v>
      </c>
      <c r="E277" t="s">
        <v>8</v>
      </c>
      <c r="F277" t="s">
        <v>9</v>
      </c>
    </row>
    <row r="278" spans="1:6" x14ac:dyDescent="0.25">
      <c r="A278">
        <v>277</v>
      </c>
      <c r="B278" t="s">
        <v>345</v>
      </c>
      <c r="C278" t="s">
        <v>448</v>
      </c>
      <c r="D278">
        <v>30200</v>
      </c>
      <c r="E278" t="s">
        <v>8</v>
      </c>
      <c r="F278" t="s">
        <v>9</v>
      </c>
    </row>
    <row r="279" spans="1:6" x14ac:dyDescent="0.25">
      <c r="A279">
        <v>278</v>
      </c>
      <c r="B279" t="s">
        <v>42</v>
      </c>
      <c r="C279" t="s">
        <v>449</v>
      </c>
      <c r="D279">
        <v>50400</v>
      </c>
      <c r="E279" t="s">
        <v>8</v>
      </c>
      <c r="F279" t="s">
        <v>9</v>
      </c>
    </row>
    <row r="280" spans="1:6" x14ac:dyDescent="0.25">
      <c r="A280">
        <v>279</v>
      </c>
      <c r="B280" t="s">
        <v>241</v>
      </c>
      <c r="C280" t="s">
        <v>450</v>
      </c>
      <c r="D280">
        <v>45200</v>
      </c>
      <c r="E280" t="s">
        <v>8</v>
      </c>
      <c r="F280" t="s">
        <v>20</v>
      </c>
    </row>
    <row r="281" spans="1:6" x14ac:dyDescent="0.25">
      <c r="A281">
        <v>280</v>
      </c>
      <c r="B281" t="s">
        <v>95</v>
      </c>
      <c r="C281" t="s">
        <v>451</v>
      </c>
      <c r="D281">
        <v>7000</v>
      </c>
      <c r="E281" t="s">
        <v>8</v>
      </c>
      <c r="F281" t="s">
        <v>9</v>
      </c>
    </row>
    <row r="282" spans="1:6" x14ac:dyDescent="0.25">
      <c r="A282">
        <v>281</v>
      </c>
      <c r="B282" t="s">
        <v>393</v>
      </c>
      <c r="C282" t="s">
        <v>452</v>
      </c>
      <c r="D282">
        <v>13100</v>
      </c>
      <c r="E282" t="s">
        <v>23</v>
      </c>
      <c r="F282" t="s">
        <v>9</v>
      </c>
    </row>
    <row r="283" spans="1:6" x14ac:dyDescent="0.25">
      <c r="A283">
        <v>282</v>
      </c>
      <c r="B283" t="s">
        <v>61</v>
      </c>
      <c r="C283" t="s">
        <v>453</v>
      </c>
      <c r="D283">
        <v>58300</v>
      </c>
      <c r="E283" t="s">
        <v>8</v>
      </c>
      <c r="F283" t="s">
        <v>9</v>
      </c>
    </row>
    <row r="284" spans="1:6" x14ac:dyDescent="0.25">
      <c r="A284">
        <v>283</v>
      </c>
      <c r="B284" t="s">
        <v>291</v>
      </c>
      <c r="C284" t="s">
        <v>454</v>
      </c>
      <c r="D284">
        <v>106300</v>
      </c>
      <c r="E284" t="s">
        <v>8</v>
      </c>
      <c r="F284" t="s">
        <v>9</v>
      </c>
    </row>
    <row r="285" spans="1:6" x14ac:dyDescent="0.25">
      <c r="A285">
        <v>284</v>
      </c>
      <c r="B285" t="s">
        <v>397</v>
      </c>
      <c r="C285" t="s">
        <v>455</v>
      </c>
      <c r="D285">
        <v>20100</v>
      </c>
      <c r="E285" t="s">
        <v>8</v>
      </c>
      <c r="F285" t="s">
        <v>20</v>
      </c>
    </row>
    <row r="286" spans="1:6" x14ac:dyDescent="0.25">
      <c r="A286">
        <v>285</v>
      </c>
      <c r="B286" t="s">
        <v>221</v>
      </c>
      <c r="C286" t="s">
        <v>456</v>
      </c>
      <c r="D286">
        <v>61200</v>
      </c>
      <c r="E286" t="s">
        <v>8</v>
      </c>
      <c r="F286" t="s">
        <v>9</v>
      </c>
    </row>
    <row r="287" spans="1:6" x14ac:dyDescent="0.25">
      <c r="A287">
        <v>286</v>
      </c>
      <c r="B287" t="s">
        <v>157</v>
      </c>
      <c r="C287" t="s">
        <v>457</v>
      </c>
      <c r="D287">
        <v>97100</v>
      </c>
      <c r="E287" t="s">
        <v>38</v>
      </c>
      <c r="F287" t="s">
        <v>9</v>
      </c>
    </row>
    <row r="288" spans="1:6" x14ac:dyDescent="0.25">
      <c r="A288">
        <v>287</v>
      </c>
      <c r="B288" t="s">
        <v>201</v>
      </c>
      <c r="C288" t="s">
        <v>458</v>
      </c>
      <c r="D288">
        <v>14700</v>
      </c>
      <c r="E288" t="s">
        <v>38</v>
      </c>
      <c r="F288" t="s">
        <v>20</v>
      </c>
    </row>
    <row r="289" spans="1:6" x14ac:dyDescent="0.25">
      <c r="A289">
        <v>288</v>
      </c>
      <c r="B289" t="s">
        <v>279</v>
      </c>
      <c r="C289" t="s">
        <v>459</v>
      </c>
      <c r="D289">
        <v>73000</v>
      </c>
      <c r="E289" t="s">
        <v>8</v>
      </c>
      <c r="F289" t="s">
        <v>9</v>
      </c>
    </row>
    <row r="290" spans="1:6" x14ac:dyDescent="0.25">
      <c r="A290">
        <v>289</v>
      </c>
      <c r="B290" t="s">
        <v>341</v>
      </c>
      <c r="C290" t="s">
        <v>448</v>
      </c>
      <c r="D290">
        <v>30800</v>
      </c>
      <c r="E290" t="s">
        <v>8</v>
      </c>
      <c r="F290" t="s">
        <v>9</v>
      </c>
    </row>
    <row r="291" spans="1:6" x14ac:dyDescent="0.25">
      <c r="A291">
        <v>290</v>
      </c>
      <c r="B291" t="s">
        <v>77</v>
      </c>
      <c r="C291" t="s">
        <v>449</v>
      </c>
      <c r="D291">
        <v>40200</v>
      </c>
      <c r="E291" t="s">
        <v>8</v>
      </c>
      <c r="F291" t="s">
        <v>9</v>
      </c>
    </row>
    <row r="292" spans="1:6" x14ac:dyDescent="0.25">
      <c r="A292">
        <v>291</v>
      </c>
      <c r="B292" t="s">
        <v>346</v>
      </c>
      <c r="C292" t="s">
        <v>450</v>
      </c>
      <c r="D292">
        <v>14600</v>
      </c>
      <c r="E292" t="s">
        <v>8</v>
      </c>
      <c r="F292" t="s">
        <v>9</v>
      </c>
    </row>
    <row r="293" spans="1:6" x14ac:dyDescent="0.25">
      <c r="A293">
        <v>292</v>
      </c>
      <c r="B293" t="s">
        <v>58</v>
      </c>
      <c r="C293" t="s">
        <v>451</v>
      </c>
      <c r="D293">
        <v>13900</v>
      </c>
      <c r="E293" t="s">
        <v>23</v>
      </c>
      <c r="F293" t="s">
        <v>9</v>
      </c>
    </row>
    <row r="294" spans="1:6" x14ac:dyDescent="0.25">
      <c r="A294">
        <v>293</v>
      </c>
      <c r="B294" t="s">
        <v>194</v>
      </c>
      <c r="C294" t="s">
        <v>452</v>
      </c>
      <c r="D294">
        <v>12500</v>
      </c>
      <c r="E294" t="s">
        <v>8</v>
      </c>
      <c r="F294" t="s">
        <v>9</v>
      </c>
    </row>
    <row r="295" spans="1:6" x14ac:dyDescent="0.25">
      <c r="A295">
        <v>294</v>
      </c>
      <c r="B295" t="s">
        <v>161</v>
      </c>
      <c r="C295" t="s">
        <v>453</v>
      </c>
      <c r="D295">
        <v>24400</v>
      </c>
      <c r="E295" t="s">
        <v>8</v>
      </c>
      <c r="F295" t="s">
        <v>20</v>
      </c>
    </row>
    <row r="296" spans="1:6" x14ac:dyDescent="0.25">
      <c r="A296">
        <v>295</v>
      </c>
      <c r="B296" t="s">
        <v>367</v>
      </c>
      <c r="C296" t="s">
        <v>454</v>
      </c>
      <c r="D296">
        <v>30200</v>
      </c>
      <c r="E296" t="s">
        <v>8</v>
      </c>
      <c r="F296" t="s">
        <v>9</v>
      </c>
    </row>
    <row r="297" spans="1:6" x14ac:dyDescent="0.25">
      <c r="A297">
        <v>296</v>
      </c>
      <c r="B297" t="s">
        <v>285</v>
      </c>
      <c r="C297" t="s">
        <v>455</v>
      </c>
      <c r="D297">
        <v>16600</v>
      </c>
      <c r="E297" t="s">
        <v>8</v>
      </c>
      <c r="F297" t="s">
        <v>9</v>
      </c>
    </row>
    <row r="298" spans="1:6" x14ac:dyDescent="0.25">
      <c r="A298">
        <v>297</v>
      </c>
      <c r="B298" t="s">
        <v>332</v>
      </c>
      <c r="C298" t="s">
        <v>456</v>
      </c>
      <c r="D298">
        <v>6900</v>
      </c>
      <c r="E298" t="s">
        <v>8</v>
      </c>
      <c r="F298" t="s">
        <v>9</v>
      </c>
    </row>
    <row r="299" spans="1:6" x14ac:dyDescent="0.25">
      <c r="A299">
        <v>298</v>
      </c>
      <c r="B299" t="s">
        <v>114</v>
      </c>
      <c r="C299" t="s">
        <v>457</v>
      </c>
      <c r="D299">
        <v>34700</v>
      </c>
      <c r="E299" t="s">
        <v>8</v>
      </c>
      <c r="F299" t="s">
        <v>9</v>
      </c>
    </row>
    <row r="300" spans="1:6" x14ac:dyDescent="0.25">
      <c r="A300">
        <v>299</v>
      </c>
      <c r="B300" t="s">
        <v>223</v>
      </c>
      <c r="C300" t="s">
        <v>458</v>
      </c>
      <c r="D300">
        <v>8800</v>
      </c>
      <c r="E300" t="s">
        <v>8</v>
      </c>
      <c r="F300" t="s">
        <v>20</v>
      </c>
    </row>
    <row r="301" spans="1:6" x14ac:dyDescent="0.25">
      <c r="A301">
        <v>300</v>
      </c>
      <c r="B301" t="s">
        <v>128</v>
      </c>
      <c r="C301" t="s">
        <v>459</v>
      </c>
      <c r="D301">
        <v>8500</v>
      </c>
      <c r="E301" t="s">
        <v>8</v>
      </c>
      <c r="F301" t="s">
        <v>9</v>
      </c>
    </row>
    <row r="302" spans="1:6" x14ac:dyDescent="0.25">
      <c r="A302">
        <v>301</v>
      </c>
      <c r="B302" t="s">
        <v>330</v>
      </c>
      <c r="C302" t="s">
        <v>448</v>
      </c>
      <c r="D302">
        <v>5000</v>
      </c>
      <c r="E302" t="s">
        <v>8</v>
      </c>
      <c r="F302" t="s">
        <v>9</v>
      </c>
    </row>
    <row r="303" spans="1:6" x14ac:dyDescent="0.25">
      <c r="A303">
        <v>302</v>
      </c>
      <c r="B303" t="s">
        <v>271</v>
      </c>
      <c r="C303" t="s">
        <v>449</v>
      </c>
      <c r="D303">
        <v>23800</v>
      </c>
      <c r="E303" t="s">
        <v>8</v>
      </c>
      <c r="F303" t="s">
        <v>9</v>
      </c>
    </row>
    <row r="304" spans="1:6" x14ac:dyDescent="0.25">
      <c r="A304">
        <v>303</v>
      </c>
      <c r="B304" t="s">
        <v>333</v>
      </c>
      <c r="C304" t="s">
        <v>450</v>
      </c>
      <c r="D304">
        <v>32300</v>
      </c>
      <c r="E304" t="s">
        <v>38</v>
      </c>
      <c r="F304" t="s">
        <v>20</v>
      </c>
    </row>
    <row r="305" spans="1:6" x14ac:dyDescent="0.25">
      <c r="A305">
        <v>304</v>
      </c>
      <c r="B305" t="s">
        <v>149</v>
      </c>
      <c r="C305" t="s">
        <v>451</v>
      </c>
      <c r="D305">
        <v>31400</v>
      </c>
      <c r="E305" t="s">
        <v>23</v>
      </c>
      <c r="F305" t="s">
        <v>9</v>
      </c>
    </row>
    <row r="306" spans="1:6" x14ac:dyDescent="0.25">
      <c r="A306">
        <v>305</v>
      </c>
      <c r="B306" t="s">
        <v>69</v>
      </c>
      <c r="C306" t="s">
        <v>452</v>
      </c>
      <c r="D306">
        <v>83400</v>
      </c>
      <c r="E306" t="s">
        <v>8</v>
      </c>
      <c r="F306" t="s">
        <v>20</v>
      </c>
    </row>
    <row r="307" spans="1:6" x14ac:dyDescent="0.25">
      <c r="A307">
        <v>306</v>
      </c>
      <c r="B307" t="s">
        <v>6</v>
      </c>
      <c r="C307" t="s">
        <v>453</v>
      </c>
      <c r="D307">
        <v>5000</v>
      </c>
      <c r="E307" t="s">
        <v>8</v>
      </c>
      <c r="F307" t="s">
        <v>9</v>
      </c>
    </row>
    <row r="308" spans="1:6" x14ac:dyDescent="0.25">
      <c r="A308">
        <v>307</v>
      </c>
      <c r="B308" t="s">
        <v>16</v>
      </c>
      <c r="C308" t="s">
        <v>454</v>
      </c>
      <c r="D308">
        <v>11100</v>
      </c>
      <c r="E308" t="s">
        <v>8</v>
      </c>
      <c r="F308" t="s">
        <v>9</v>
      </c>
    </row>
    <row r="309" spans="1:6" x14ac:dyDescent="0.25">
      <c r="A309">
        <v>308</v>
      </c>
      <c r="B309" t="s">
        <v>363</v>
      </c>
      <c r="C309" t="s">
        <v>455</v>
      </c>
      <c r="D309">
        <v>58100</v>
      </c>
      <c r="E309" t="s">
        <v>23</v>
      </c>
      <c r="F309" t="s">
        <v>9</v>
      </c>
    </row>
    <row r="310" spans="1:6" x14ac:dyDescent="0.25">
      <c r="A310">
        <v>309</v>
      </c>
      <c r="B310" t="s">
        <v>361</v>
      </c>
      <c r="C310" t="s">
        <v>456</v>
      </c>
      <c r="D310">
        <v>5600</v>
      </c>
      <c r="E310" t="s">
        <v>8</v>
      </c>
      <c r="F310" t="s">
        <v>9</v>
      </c>
    </row>
    <row r="311" spans="1:6" x14ac:dyDescent="0.25">
      <c r="A311">
        <v>310</v>
      </c>
      <c r="B311" t="s">
        <v>265</v>
      </c>
      <c r="C311" t="s">
        <v>457</v>
      </c>
      <c r="D311">
        <v>24700</v>
      </c>
      <c r="E311" t="s">
        <v>38</v>
      </c>
      <c r="F311" t="s">
        <v>20</v>
      </c>
    </row>
    <row r="312" spans="1:6" x14ac:dyDescent="0.25">
      <c r="A312">
        <v>311</v>
      </c>
      <c r="B312" t="s">
        <v>360</v>
      </c>
      <c r="C312" t="s">
        <v>458</v>
      </c>
      <c r="D312">
        <v>10300</v>
      </c>
      <c r="E312" t="s">
        <v>8</v>
      </c>
      <c r="F312" t="s">
        <v>9</v>
      </c>
    </row>
    <row r="313" spans="1:6" x14ac:dyDescent="0.25">
      <c r="A313">
        <v>312</v>
      </c>
      <c r="B313" t="s">
        <v>89</v>
      </c>
      <c r="C313" t="s">
        <v>459</v>
      </c>
      <c r="D313">
        <v>12200</v>
      </c>
      <c r="E313" t="s">
        <v>23</v>
      </c>
      <c r="F313" t="s">
        <v>9</v>
      </c>
    </row>
    <row r="314" spans="1:6" x14ac:dyDescent="0.25">
      <c r="A314">
        <v>313</v>
      </c>
      <c r="B314" t="s">
        <v>155</v>
      </c>
      <c r="C314" t="s">
        <v>448</v>
      </c>
      <c r="D314">
        <v>56800</v>
      </c>
      <c r="E314" t="s">
        <v>8</v>
      </c>
      <c r="F314" t="s">
        <v>9</v>
      </c>
    </row>
    <row r="315" spans="1:6" x14ac:dyDescent="0.25">
      <c r="A315">
        <v>314</v>
      </c>
      <c r="B315" t="s">
        <v>87</v>
      </c>
      <c r="C315" t="s">
        <v>454</v>
      </c>
      <c r="D315">
        <v>0</v>
      </c>
      <c r="E315" t="s">
        <v>8</v>
      </c>
      <c r="F315" t="s">
        <v>9</v>
      </c>
    </row>
    <row r="316" spans="1:6" x14ac:dyDescent="0.25">
      <c r="A316">
        <v>315</v>
      </c>
      <c r="B316" t="s">
        <v>131</v>
      </c>
      <c r="C316" t="s">
        <v>450</v>
      </c>
      <c r="D316">
        <v>13300</v>
      </c>
      <c r="E316" t="s">
        <v>8</v>
      </c>
      <c r="F316" t="s">
        <v>9</v>
      </c>
    </row>
    <row r="317" spans="1:6" x14ac:dyDescent="0.25">
      <c r="A317">
        <v>316</v>
      </c>
      <c r="B317" t="s">
        <v>77</v>
      </c>
      <c r="C317" t="s">
        <v>451</v>
      </c>
      <c r="D317">
        <v>33900</v>
      </c>
      <c r="E317" t="s">
        <v>8</v>
      </c>
      <c r="F317" t="s">
        <v>9</v>
      </c>
    </row>
    <row r="318" spans="1:6" x14ac:dyDescent="0.25">
      <c r="A318">
        <v>317</v>
      </c>
      <c r="B318" t="s">
        <v>239</v>
      </c>
      <c r="C318" t="s">
        <v>452</v>
      </c>
      <c r="D318">
        <v>5000</v>
      </c>
      <c r="E318" t="s">
        <v>8</v>
      </c>
      <c r="F318" t="s">
        <v>20</v>
      </c>
    </row>
    <row r="319" spans="1:6" x14ac:dyDescent="0.25">
      <c r="A319">
        <v>318</v>
      </c>
      <c r="B319" t="s">
        <v>255</v>
      </c>
      <c r="C319" t="s">
        <v>453</v>
      </c>
      <c r="D319">
        <v>10400</v>
      </c>
      <c r="E319" t="s">
        <v>38</v>
      </c>
      <c r="F319" t="s">
        <v>9</v>
      </c>
    </row>
    <row r="320" spans="1:6" x14ac:dyDescent="0.25">
      <c r="A320">
        <v>319</v>
      </c>
      <c r="B320" t="s">
        <v>93</v>
      </c>
      <c r="C320" t="s">
        <v>454</v>
      </c>
      <c r="D320">
        <v>45200</v>
      </c>
      <c r="E320" t="s">
        <v>8</v>
      </c>
      <c r="F320" t="s">
        <v>9</v>
      </c>
    </row>
    <row r="321" spans="1:6" x14ac:dyDescent="0.25">
      <c r="A321">
        <v>320</v>
      </c>
      <c r="B321" t="s">
        <v>272</v>
      </c>
      <c r="C321" t="s">
        <v>455</v>
      </c>
      <c r="D321">
        <v>30600</v>
      </c>
      <c r="E321" t="s">
        <v>8</v>
      </c>
      <c r="F321" t="s">
        <v>9</v>
      </c>
    </row>
    <row r="322" spans="1:6" x14ac:dyDescent="0.25">
      <c r="A322">
        <v>321</v>
      </c>
      <c r="B322" t="s">
        <v>275</v>
      </c>
      <c r="C322" t="s">
        <v>456</v>
      </c>
      <c r="D322">
        <v>6600</v>
      </c>
      <c r="E322" t="s">
        <v>8</v>
      </c>
      <c r="F322" t="s">
        <v>9</v>
      </c>
    </row>
    <row r="323" spans="1:6" x14ac:dyDescent="0.25">
      <c r="A323">
        <v>322</v>
      </c>
      <c r="B323" t="s">
        <v>241</v>
      </c>
      <c r="C323" t="s">
        <v>457</v>
      </c>
      <c r="D323">
        <v>15800</v>
      </c>
      <c r="E323" t="s">
        <v>8</v>
      </c>
      <c r="F323" t="s">
        <v>9</v>
      </c>
    </row>
    <row r="324" spans="1:6" x14ac:dyDescent="0.25">
      <c r="A324">
        <v>323</v>
      </c>
      <c r="B324" t="s">
        <v>188</v>
      </c>
      <c r="C324" t="s">
        <v>458</v>
      </c>
      <c r="D324">
        <v>35700</v>
      </c>
      <c r="E324" t="s">
        <v>8</v>
      </c>
      <c r="F324" t="s">
        <v>20</v>
      </c>
    </row>
    <row r="325" spans="1:6" x14ac:dyDescent="0.25">
      <c r="A325">
        <v>324</v>
      </c>
      <c r="B325" t="s">
        <v>131</v>
      </c>
      <c r="C325" t="s">
        <v>459</v>
      </c>
      <c r="D325">
        <v>5000</v>
      </c>
      <c r="E325" t="s">
        <v>8</v>
      </c>
      <c r="F325" t="s">
        <v>20</v>
      </c>
    </row>
    <row r="326" spans="1:6" x14ac:dyDescent="0.25">
      <c r="A326">
        <v>325</v>
      </c>
      <c r="B326" t="s">
        <v>149</v>
      </c>
      <c r="C326" t="s">
        <v>448</v>
      </c>
      <c r="D326">
        <v>45400</v>
      </c>
      <c r="E326" t="s">
        <v>23</v>
      </c>
      <c r="F326" t="s">
        <v>20</v>
      </c>
    </row>
    <row r="327" spans="1:6" x14ac:dyDescent="0.25">
      <c r="A327">
        <v>326</v>
      </c>
      <c r="B327" t="s">
        <v>387</v>
      </c>
      <c r="C327" t="s">
        <v>449</v>
      </c>
      <c r="D327">
        <v>13000</v>
      </c>
      <c r="E327" t="s">
        <v>8</v>
      </c>
      <c r="F327" t="s">
        <v>9</v>
      </c>
    </row>
    <row r="328" spans="1:6" x14ac:dyDescent="0.25">
      <c r="A328">
        <v>327</v>
      </c>
      <c r="B328" t="s">
        <v>48</v>
      </c>
      <c r="C328" t="s">
        <v>450</v>
      </c>
      <c r="D328">
        <v>53800</v>
      </c>
      <c r="E328" t="s">
        <v>8</v>
      </c>
      <c r="F328" t="s">
        <v>9</v>
      </c>
    </row>
    <row r="329" spans="1:6" x14ac:dyDescent="0.25">
      <c r="A329">
        <v>328</v>
      </c>
      <c r="B329" t="s">
        <v>254</v>
      </c>
      <c r="C329" t="s">
        <v>451</v>
      </c>
      <c r="D329">
        <v>9000</v>
      </c>
      <c r="E329" t="s">
        <v>8</v>
      </c>
      <c r="F329" t="s">
        <v>9</v>
      </c>
    </row>
    <row r="330" spans="1:6" x14ac:dyDescent="0.25">
      <c r="A330">
        <v>329</v>
      </c>
      <c r="B330" t="s">
        <v>291</v>
      </c>
      <c r="C330" t="s">
        <v>452</v>
      </c>
      <c r="D330">
        <v>56800</v>
      </c>
      <c r="E330" t="s">
        <v>8</v>
      </c>
      <c r="F330" t="s">
        <v>9</v>
      </c>
    </row>
    <row r="331" spans="1:6" x14ac:dyDescent="0.25">
      <c r="A331">
        <v>330</v>
      </c>
      <c r="B331" t="s">
        <v>272</v>
      </c>
      <c r="C331" t="s">
        <v>453</v>
      </c>
      <c r="D331">
        <v>19800</v>
      </c>
      <c r="E331" t="s">
        <v>23</v>
      </c>
      <c r="F331" t="s">
        <v>9</v>
      </c>
    </row>
    <row r="332" spans="1:6" x14ac:dyDescent="0.25">
      <c r="A332">
        <v>331</v>
      </c>
      <c r="B332" t="s">
        <v>309</v>
      </c>
      <c r="C332" t="s">
        <v>454</v>
      </c>
      <c r="D332">
        <v>6700</v>
      </c>
      <c r="E332" t="s">
        <v>8</v>
      </c>
      <c r="F332" t="s">
        <v>9</v>
      </c>
    </row>
    <row r="333" spans="1:6" x14ac:dyDescent="0.25">
      <c r="A333">
        <v>332</v>
      </c>
      <c r="B333" t="s">
        <v>18</v>
      </c>
      <c r="C333" t="s">
        <v>455</v>
      </c>
      <c r="D333">
        <v>16500</v>
      </c>
      <c r="E333" t="s">
        <v>8</v>
      </c>
      <c r="F333" t="s">
        <v>9</v>
      </c>
    </row>
    <row r="334" spans="1:6" x14ac:dyDescent="0.25">
      <c r="A334">
        <v>333</v>
      </c>
      <c r="B334" t="s">
        <v>225</v>
      </c>
      <c r="C334" t="s">
        <v>456</v>
      </c>
      <c r="D334">
        <v>12200</v>
      </c>
      <c r="E334" t="s">
        <v>8</v>
      </c>
      <c r="F334" t="s">
        <v>9</v>
      </c>
    </row>
    <row r="335" spans="1:6" x14ac:dyDescent="0.25">
      <c r="A335">
        <v>334</v>
      </c>
      <c r="B335" t="s">
        <v>280</v>
      </c>
      <c r="C335" t="s">
        <v>457</v>
      </c>
      <c r="D335">
        <v>23500</v>
      </c>
      <c r="E335" t="s">
        <v>38</v>
      </c>
      <c r="F335" t="s">
        <v>9</v>
      </c>
    </row>
    <row r="336" spans="1:6" x14ac:dyDescent="0.25">
      <c r="A336">
        <v>335</v>
      </c>
      <c r="B336" t="s">
        <v>176</v>
      </c>
      <c r="C336" t="s">
        <v>458</v>
      </c>
      <c r="D336">
        <v>11900</v>
      </c>
      <c r="E336" t="s">
        <v>8</v>
      </c>
      <c r="F336" t="s">
        <v>9</v>
      </c>
    </row>
    <row r="337" spans="1:6" x14ac:dyDescent="0.25">
      <c r="A337">
        <v>336</v>
      </c>
      <c r="B337" t="s">
        <v>360</v>
      </c>
      <c r="C337" t="s">
        <v>459</v>
      </c>
      <c r="D337">
        <v>111400</v>
      </c>
      <c r="E337" t="s">
        <v>8</v>
      </c>
      <c r="F337" t="s">
        <v>9</v>
      </c>
    </row>
    <row r="338" spans="1:6" x14ac:dyDescent="0.25">
      <c r="A338">
        <v>337</v>
      </c>
      <c r="B338" t="s">
        <v>196</v>
      </c>
      <c r="C338" t="s">
        <v>448</v>
      </c>
      <c r="D338">
        <v>19000</v>
      </c>
      <c r="E338" t="s">
        <v>38</v>
      </c>
      <c r="F338" t="s">
        <v>20</v>
      </c>
    </row>
    <row r="339" spans="1:6" x14ac:dyDescent="0.25">
      <c r="A339">
        <v>338</v>
      </c>
      <c r="B339" t="s">
        <v>146</v>
      </c>
      <c r="C339" t="s">
        <v>449</v>
      </c>
      <c r="D339">
        <v>12600</v>
      </c>
      <c r="E339" t="s">
        <v>8</v>
      </c>
      <c r="F339" t="s">
        <v>20</v>
      </c>
    </row>
    <row r="340" spans="1:6" x14ac:dyDescent="0.25">
      <c r="A340">
        <v>339</v>
      </c>
      <c r="B340" t="s">
        <v>287</v>
      </c>
      <c r="C340" t="s">
        <v>450</v>
      </c>
      <c r="D340">
        <v>35900</v>
      </c>
      <c r="E340" t="s">
        <v>23</v>
      </c>
      <c r="F340" t="s">
        <v>9</v>
      </c>
    </row>
    <row r="341" spans="1:6" x14ac:dyDescent="0.25">
      <c r="A341">
        <v>340</v>
      </c>
      <c r="B341" t="s">
        <v>88</v>
      </c>
      <c r="C341" t="s">
        <v>451</v>
      </c>
      <c r="D341">
        <v>18100</v>
      </c>
      <c r="E341" t="s">
        <v>8</v>
      </c>
      <c r="F341" t="s">
        <v>9</v>
      </c>
    </row>
    <row r="342" spans="1:6" x14ac:dyDescent="0.25">
      <c r="A342">
        <v>341</v>
      </c>
      <c r="B342" t="s">
        <v>202</v>
      </c>
      <c r="C342" t="s">
        <v>452</v>
      </c>
      <c r="D342">
        <v>41200</v>
      </c>
      <c r="E342" t="s">
        <v>8</v>
      </c>
      <c r="F342" t="s">
        <v>9</v>
      </c>
    </row>
    <row r="343" spans="1:6" x14ac:dyDescent="0.25">
      <c r="A343">
        <v>342</v>
      </c>
      <c r="B343" t="s">
        <v>344</v>
      </c>
      <c r="C343" t="s">
        <v>453</v>
      </c>
      <c r="D343">
        <v>8600</v>
      </c>
      <c r="E343" t="s">
        <v>8</v>
      </c>
      <c r="F343" t="s">
        <v>9</v>
      </c>
    </row>
    <row r="344" spans="1:6" x14ac:dyDescent="0.25">
      <c r="A344">
        <v>343</v>
      </c>
      <c r="B344" t="s">
        <v>389</v>
      </c>
      <c r="C344" t="s">
        <v>454</v>
      </c>
      <c r="D344">
        <v>31100</v>
      </c>
      <c r="E344" t="s">
        <v>8</v>
      </c>
      <c r="F344" t="s">
        <v>9</v>
      </c>
    </row>
    <row r="345" spans="1:6" x14ac:dyDescent="0.25">
      <c r="A345">
        <v>344</v>
      </c>
      <c r="B345" t="s">
        <v>246</v>
      </c>
      <c r="C345" t="s">
        <v>455</v>
      </c>
      <c r="D345">
        <v>38000</v>
      </c>
      <c r="E345" t="s">
        <v>8</v>
      </c>
      <c r="F345" t="s">
        <v>9</v>
      </c>
    </row>
    <row r="346" spans="1:6" x14ac:dyDescent="0.25">
      <c r="A346">
        <v>345</v>
      </c>
      <c r="B346" t="s">
        <v>255</v>
      </c>
      <c r="C346" t="s">
        <v>456</v>
      </c>
      <c r="D346">
        <v>19300</v>
      </c>
      <c r="E346" t="s">
        <v>8</v>
      </c>
      <c r="F346" t="s">
        <v>9</v>
      </c>
    </row>
    <row r="347" spans="1:6" x14ac:dyDescent="0.25">
      <c r="A347">
        <v>346</v>
      </c>
      <c r="B347" t="s">
        <v>88</v>
      </c>
      <c r="C347" t="s">
        <v>457</v>
      </c>
      <c r="D347">
        <v>16500</v>
      </c>
      <c r="E347" t="s">
        <v>8</v>
      </c>
      <c r="F347" t="s">
        <v>9</v>
      </c>
    </row>
    <row r="348" spans="1:6" x14ac:dyDescent="0.25">
      <c r="A348">
        <v>347</v>
      </c>
      <c r="B348" t="s">
        <v>337</v>
      </c>
      <c r="C348" t="s">
        <v>458</v>
      </c>
      <c r="D348">
        <v>35800</v>
      </c>
      <c r="E348" t="s">
        <v>8</v>
      </c>
      <c r="F348" t="s">
        <v>9</v>
      </c>
    </row>
    <row r="349" spans="1:6" x14ac:dyDescent="0.25">
      <c r="A349">
        <v>348</v>
      </c>
      <c r="B349" t="s">
        <v>77</v>
      </c>
      <c r="C349" t="s">
        <v>459</v>
      </c>
      <c r="D349">
        <v>18700</v>
      </c>
      <c r="E349" t="s">
        <v>8</v>
      </c>
      <c r="F349" t="s">
        <v>9</v>
      </c>
    </row>
    <row r="350" spans="1:6" x14ac:dyDescent="0.25">
      <c r="A350">
        <v>349</v>
      </c>
      <c r="B350" t="s">
        <v>44</v>
      </c>
      <c r="C350" t="s">
        <v>448</v>
      </c>
      <c r="D350">
        <v>124300</v>
      </c>
      <c r="E350" t="s">
        <v>8</v>
      </c>
      <c r="F350" t="s">
        <v>9</v>
      </c>
    </row>
    <row r="351" spans="1:6" x14ac:dyDescent="0.25">
      <c r="A351">
        <v>350</v>
      </c>
      <c r="B351" t="s">
        <v>311</v>
      </c>
      <c r="C351" t="s">
        <v>449</v>
      </c>
      <c r="D351">
        <v>60500</v>
      </c>
      <c r="E351" t="s">
        <v>8</v>
      </c>
      <c r="F351" t="s">
        <v>9</v>
      </c>
    </row>
    <row r="352" spans="1:6" x14ac:dyDescent="0.25">
      <c r="A352">
        <v>351</v>
      </c>
      <c r="B352" t="s">
        <v>37</v>
      </c>
      <c r="C352" t="s">
        <v>450</v>
      </c>
      <c r="D352">
        <v>18200</v>
      </c>
      <c r="E352" t="s">
        <v>38</v>
      </c>
      <c r="F352" t="s">
        <v>20</v>
      </c>
    </row>
    <row r="353" spans="1:6" x14ac:dyDescent="0.25">
      <c r="A353">
        <v>352</v>
      </c>
      <c r="B353" t="s">
        <v>114</v>
      </c>
      <c r="C353" t="s">
        <v>451</v>
      </c>
      <c r="D353">
        <v>21800</v>
      </c>
      <c r="E353" t="s">
        <v>8</v>
      </c>
      <c r="F353" t="s">
        <v>9</v>
      </c>
    </row>
    <row r="354" spans="1:6" x14ac:dyDescent="0.25">
      <c r="A354">
        <v>353</v>
      </c>
      <c r="B354" t="s">
        <v>58</v>
      </c>
      <c r="C354" t="s">
        <v>452</v>
      </c>
      <c r="D354">
        <v>55200</v>
      </c>
      <c r="E354" t="s">
        <v>8</v>
      </c>
      <c r="F354" t="s">
        <v>9</v>
      </c>
    </row>
    <row r="355" spans="1:6" x14ac:dyDescent="0.25">
      <c r="A355">
        <v>354</v>
      </c>
      <c r="B355" t="s">
        <v>234</v>
      </c>
      <c r="C355" t="s">
        <v>453</v>
      </c>
      <c r="D355">
        <v>20700</v>
      </c>
      <c r="E355" t="s">
        <v>8</v>
      </c>
      <c r="F355" t="s">
        <v>9</v>
      </c>
    </row>
    <row r="356" spans="1:6" x14ac:dyDescent="0.25">
      <c r="A356">
        <v>355</v>
      </c>
      <c r="B356" t="s">
        <v>26</v>
      </c>
      <c r="C356" t="s">
        <v>454</v>
      </c>
      <c r="D356">
        <v>9900</v>
      </c>
      <c r="E356" t="s">
        <v>8</v>
      </c>
      <c r="F356" t="s">
        <v>20</v>
      </c>
    </row>
    <row r="357" spans="1:6" x14ac:dyDescent="0.25">
      <c r="A357">
        <v>356</v>
      </c>
      <c r="B357" t="s">
        <v>310</v>
      </c>
      <c r="C357" t="s">
        <v>455</v>
      </c>
      <c r="D357">
        <v>14500</v>
      </c>
      <c r="E357" t="s">
        <v>8</v>
      </c>
      <c r="F357" t="s">
        <v>9</v>
      </c>
    </row>
    <row r="358" spans="1:6" x14ac:dyDescent="0.25">
      <c r="A358">
        <v>357</v>
      </c>
      <c r="B358" t="s">
        <v>175</v>
      </c>
      <c r="C358" t="s">
        <v>456</v>
      </c>
      <c r="D358">
        <v>9300</v>
      </c>
      <c r="E358" t="s">
        <v>8</v>
      </c>
      <c r="F358" t="s">
        <v>9</v>
      </c>
    </row>
    <row r="359" spans="1:6" x14ac:dyDescent="0.25">
      <c r="A359">
        <v>358</v>
      </c>
      <c r="B359" t="s">
        <v>76</v>
      </c>
      <c r="C359" t="s">
        <v>457</v>
      </c>
      <c r="D359">
        <v>46400</v>
      </c>
      <c r="E359" t="s">
        <v>8</v>
      </c>
      <c r="F359" t="s">
        <v>9</v>
      </c>
    </row>
    <row r="360" spans="1:6" x14ac:dyDescent="0.25">
      <c r="A360">
        <v>359</v>
      </c>
      <c r="B360" t="s">
        <v>310</v>
      </c>
      <c r="C360" t="s">
        <v>458</v>
      </c>
      <c r="D360">
        <v>20200</v>
      </c>
      <c r="E360" t="s">
        <v>8</v>
      </c>
      <c r="F360" t="s">
        <v>9</v>
      </c>
    </row>
    <row r="361" spans="1:6" x14ac:dyDescent="0.25">
      <c r="A361">
        <v>360</v>
      </c>
      <c r="B361" t="s">
        <v>370</v>
      </c>
      <c r="C361" t="s">
        <v>459</v>
      </c>
      <c r="D361">
        <v>35700</v>
      </c>
      <c r="E361" t="s">
        <v>8</v>
      </c>
      <c r="F361" t="s">
        <v>9</v>
      </c>
    </row>
    <row r="362" spans="1:6" x14ac:dyDescent="0.25">
      <c r="A362">
        <v>361</v>
      </c>
      <c r="B362" t="s">
        <v>324</v>
      </c>
      <c r="C362" t="s">
        <v>448</v>
      </c>
      <c r="D362">
        <v>21100</v>
      </c>
      <c r="E362" t="s">
        <v>8</v>
      </c>
      <c r="F362" t="s">
        <v>9</v>
      </c>
    </row>
    <row r="363" spans="1:6" x14ac:dyDescent="0.25">
      <c r="A363">
        <v>362</v>
      </c>
      <c r="B363" t="s">
        <v>52</v>
      </c>
      <c r="C363" t="s">
        <v>449</v>
      </c>
      <c r="D363">
        <v>5000</v>
      </c>
      <c r="E363" t="s">
        <v>38</v>
      </c>
      <c r="F363" t="s">
        <v>20</v>
      </c>
    </row>
    <row r="364" spans="1:6" x14ac:dyDescent="0.25">
      <c r="A364">
        <v>363</v>
      </c>
      <c r="B364" t="s">
        <v>239</v>
      </c>
      <c r="C364" t="s">
        <v>450</v>
      </c>
      <c r="D364">
        <v>10500</v>
      </c>
      <c r="E364" t="s">
        <v>23</v>
      </c>
      <c r="F364" t="s">
        <v>9</v>
      </c>
    </row>
    <row r="365" spans="1:6" x14ac:dyDescent="0.25">
      <c r="A365">
        <v>364</v>
      </c>
      <c r="B365" t="s">
        <v>48</v>
      </c>
      <c r="C365" t="s">
        <v>451</v>
      </c>
      <c r="D365">
        <v>193000</v>
      </c>
      <c r="E365" t="s">
        <v>23</v>
      </c>
      <c r="F365" t="s">
        <v>9</v>
      </c>
    </row>
    <row r="366" spans="1:6" x14ac:dyDescent="0.25">
      <c r="A366">
        <v>365</v>
      </c>
      <c r="B366" t="s">
        <v>91</v>
      </c>
      <c r="C366" t="s">
        <v>452</v>
      </c>
      <c r="D366">
        <v>11300</v>
      </c>
      <c r="E366" t="s">
        <v>8</v>
      </c>
      <c r="F366" t="s">
        <v>9</v>
      </c>
    </row>
    <row r="367" spans="1:6" x14ac:dyDescent="0.25">
      <c r="A367">
        <v>366</v>
      </c>
      <c r="B367" t="s">
        <v>339</v>
      </c>
      <c r="C367" t="s">
        <v>453</v>
      </c>
      <c r="D367">
        <v>27100</v>
      </c>
      <c r="E367" t="s">
        <v>8</v>
      </c>
      <c r="F367" t="s">
        <v>9</v>
      </c>
    </row>
    <row r="368" spans="1:6" x14ac:dyDescent="0.25">
      <c r="A368">
        <v>367</v>
      </c>
      <c r="B368" t="s">
        <v>343</v>
      </c>
      <c r="C368" t="s">
        <v>454</v>
      </c>
      <c r="D368">
        <v>25800</v>
      </c>
      <c r="E368" t="s">
        <v>8</v>
      </c>
      <c r="F368" t="s">
        <v>9</v>
      </c>
    </row>
    <row r="369" spans="1:6" x14ac:dyDescent="0.25">
      <c r="A369">
        <v>368</v>
      </c>
      <c r="B369" t="s">
        <v>344</v>
      </c>
      <c r="C369" t="s">
        <v>455</v>
      </c>
      <c r="D369">
        <v>36700</v>
      </c>
      <c r="E369" t="s">
        <v>23</v>
      </c>
      <c r="F369" t="s">
        <v>9</v>
      </c>
    </row>
    <row r="370" spans="1:6" x14ac:dyDescent="0.25">
      <c r="A370">
        <v>369</v>
      </c>
      <c r="B370" t="s">
        <v>372</v>
      </c>
      <c r="C370" t="s">
        <v>456</v>
      </c>
      <c r="D370">
        <v>5300</v>
      </c>
      <c r="E370" t="s">
        <v>8</v>
      </c>
      <c r="F370" t="s">
        <v>9</v>
      </c>
    </row>
    <row r="371" spans="1:6" x14ac:dyDescent="0.25">
      <c r="A371">
        <v>370</v>
      </c>
      <c r="B371" t="s">
        <v>152</v>
      </c>
      <c r="C371" t="s">
        <v>457</v>
      </c>
      <c r="D371">
        <v>33700</v>
      </c>
      <c r="E371" t="s">
        <v>23</v>
      </c>
      <c r="F371" t="s">
        <v>9</v>
      </c>
    </row>
    <row r="372" spans="1:6" x14ac:dyDescent="0.25">
      <c r="A372">
        <v>371</v>
      </c>
      <c r="B372" t="s">
        <v>217</v>
      </c>
      <c r="C372" t="s">
        <v>458</v>
      </c>
      <c r="D372">
        <v>7900</v>
      </c>
      <c r="E372" t="s">
        <v>8</v>
      </c>
      <c r="F372" t="s">
        <v>9</v>
      </c>
    </row>
    <row r="373" spans="1:6" x14ac:dyDescent="0.25">
      <c r="A373">
        <v>372</v>
      </c>
      <c r="B373" t="s">
        <v>282</v>
      </c>
      <c r="C373" t="s">
        <v>459</v>
      </c>
      <c r="D373">
        <v>19200</v>
      </c>
      <c r="E373" t="s">
        <v>23</v>
      </c>
      <c r="F373" t="s">
        <v>9</v>
      </c>
    </row>
    <row r="374" spans="1:6" x14ac:dyDescent="0.25">
      <c r="A374">
        <v>373</v>
      </c>
      <c r="B374" t="s">
        <v>332</v>
      </c>
      <c r="C374" t="s">
        <v>449</v>
      </c>
      <c r="D374">
        <v>480000</v>
      </c>
      <c r="E374" t="s">
        <v>8</v>
      </c>
      <c r="F374" t="s">
        <v>9</v>
      </c>
    </row>
    <row r="375" spans="1:6" x14ac:dyDescent="0.25">
      <c r="A375">
        <v>374</v>
      </c>
      <c r="B375" t="s">
        <v>318</v>
      </c>
      <c r="C375" t="s">
        <v>449</v>
      </c>
      <c r="D375">
        <v>79100</v>
      </c>
      <c r="E375" t="s">
        <v>8</v>
      </c>
      <c r="F375" t="s">
        <v>9</v>
      </c>
    </row>
    <row r="376" spans="1:6" x14ac:dyDescent="0.25">
      <c r="A376">
        <v>375</v>
      </c>
      <c r="B376" t="s">
        <v>254</v>
      </c>
      <c r="C376" t="s">
        <v>450</v>
      </c>
      <c r="D376">
        <v>48200</v>
      </c>
      <c r="E376" t="s">
        <v>8</v>
      </c>
      <c r="F376" t="s">
        <v>9</v>
      </c>
    </row>
    <row r="377" spans="1:6" x14ac:dyDescent="0.25">
      <c r="A377">
        <v>376</v>
      </c>
      <c r="B377" t="s">
        <v>92</v>
      </c>
      <c r="C377" t="s">
        <v>451</v>
      </c>
      <c r="D377">
        <v>50300</v>
      </c>
      <c r="E377" t="s">
        <v>8</v>
      </c>
      <c r="F377" t="s">
        <v>9</v>
      </c>
    </row>
    <row r="378" spans="1:6" x14ac:dyDescent="0.25">
      <c r="A378">
        <v>377</v>
      </c>
      <c r="B378" t="s">
        <v>173</v>
      </c>
      <c r="C378" t="s">
        <v>452</v>
      </c>
      <c r="D378">
        <v>50300</v>
      </c>
      <c r="E378" t="s">
        <v>8</v>
      </c>
      <c r="F378" t="s">
        <v>9</v>
      </c>
    </row>
    <row r="379" spans="1:6" x14ac:dyDescent="0.25">
      <c r="A379">
        <v>378</v>
      </c>
      <c r="B379" t="s">
        <v>73</v>
      </c>
      <c r="C379" t="s">
        <v>453</v>
      </c>
      <c r="D379">
        <v>12200</v>
      </c>
      <c r="E379" t="s">
        <v>8</v>
      </c>
      <c r="F379" t="s">
        <v>9</v>
      </c>
    </row>
    <row r="380" spans="1:6" x14ac:dyDescent="0.25">
      <c r="A380">
        <v>379</v>
      </c>
      <c r="B380" t="s">
        <v>341</v>
      </c>
      <c r="C380" t="s">
        <v>454</v>
      </c>
      <c r="D380">
        <v>12300</v>
      </c>
      <c r="E380" t="s">
        <v>8</v>
      </c>
      <c r="F380" t="s">
        <v>9</v>
      </c>
    </row>
    <row r="381" spans="1:6" x14ac:dyDescent="0.25">
      <c r="A381">
        <v>380</v>
      </c>
      <c r="B381" t="s">
        <v>83</v>
      </c>
      <c r="C381" t="s">
        <v>455</v>
      </c>
      <c r="D381">
        <v>7000</v>
      </c>
      <c r="E381" t="s">
        <v>23</v>
      </c>
      <c r="F381" t="s">
        <v>9</v>
      </c>
    </row>
    <row r="382" spans="1:6" x14ac:dyDescent="0.25">
      <c r="A382">
        <v>381</v>
      </c>
      <c r="B382" t="s">
        <v>89</v>
      </c>
      <c r="C382" t="s">
        <v>456</v>
      </c>
      <c r="D382">
        <v>11900</v>
      </c>
      <c r="E382" t="s">
        <v>38</v>
      </c>
      <c r="F382" t="s">
        <v>20</v>
      </c>
    </row>
    <row r="383" spans="1:6" x14ac:dyDescent="0.25">
      <c r="A383">
        <v>382</v>
      </c>
      <c r="B383" t="s">
        <v>76</v>
      </c>
      <c r="C383" t="s">
        <v>457</v>
      </c>
      <c r="D383">
        <v>15200</v>
      </c>
      <c r="E383" t="s">
        <v>8</v>
      </c>
      <c r="F383" t="s">
        <v>20</v>
      </c>
    </row>
    <row r="384" spans="1:6" x14ac:dyDescent="0.25">
      <c r="A384">
        <v>383</v>
      </c>
      <c r="B384" t="s">
        <v>350</v>
      </c>
      <c r="C384" t="s">
        <v>458</v>
      </c>
      <c r="D384">
        <v>25700</v>
      </c>
      <c r="E384" t="s">
        <v>8</v>
      </c>
      <c r="F384" t="s">
        <v>9</v>
      </c>
    </row>
    <row r="385" spans="1:6" x14ac:dyDescent="0.25">
      <c r="A385">
        <v>384</v>
      </c>
      <c r="B385" t="s">
        <v>315</v>
      </c>
      <c r="C385" t="s">
        <v>459</v>
      </c>
      <c r="D385">
        <v>5000</v>
      </c>
      <c r="E385" t="s">
        <v>8</v>
      </c>
      <c r="F385" t="s">
        <v>9</v>
      </c>
    </row>
    <row r="386" spans="1:6" x14ac:dyDescent="0.25">
      <c r="A386">
        <v>385</v>
      </c>
      <c r="B386" t="s">
        <v>228</v>
      </c>
      <c r="C386" t="s">
        <v>448</v>
      </c>
      <c r="D386">
        <v>106000</v>
      </c>
      <c r="E386" t="s">
        <v>8</v>
      </c>
      <c r="F386" t="s">
        <v>9</v>
      </c>
    </row>
    <row r="387" spans="1:6" x14ac:dyDescent="0.25">
      <c r="A387">
        <v>386</v>
      </c>
      <c r="B387" t="s">
        <v>41</v>
      </c>
      <c r="C387" t="s">
        <v>449</v>
      </c>
      <c r="D387">
        <v>13500</v>
      </c>
      <c r="E387" t="s">
        <v>8</v>
      </c>
      <c r="F387" t="s">
        <v>9</v>
      </c>
    </row>
    <row r="388" spans="1:6" x14ac:dyDescent="0.25">
      <c r="A388">
        <v>387</v>
      </c>
      <c r="B388" t="s">
        <v>109</v>
      </c>
      <c r="C388" t="s">
        <v>450</v>
      </c>
      <c r="D388">
        <v>8000</v>
      </c>
      <c r="E388" t="s">
        <v>8</v>
      </c>
      <c r="F388" t="s">
        <v>9</v>
      </c>
    </row>
    <row r="389" spans="1:6" x14ac:dyDescent="0.25">
      <c r="A389">
        <v>388</v>
      </c>
      <c r="B389" t="s">
        <v>65</v>
      </c>
      <c r="C389" t="s">
        <v>451</v>
      </c>
      <c r="D389">
        <v>14200</v>
      </c>
      <c r="E389" t="s">
        <v>8</v>
      </c>
      <c r="F389" t="s">
        <v>9</v>
      </c>
    </row>
    <row r="390" spans="1:6" x14ac:dyDescent="0.25">
      <c r="A390">
        <v>389</v>
      </c>
      <c r="B390" t="s">
        <v>395</v>
      </c>
      <c r="C390" t="s">
        <v>452</v>
      </c>
      <c r="D390">
        <v>49300</v>
      </c>
      <c r="E390" t="s">
        <v>8</v>
      </c>
      <c r="F390" t="s">
        <v>9</v>
      </c>
    </row>
    <row r="391" spans="1:6" x14ac:dyDescent="0.25">
      <c r="A391">
        <v>390</v>
      </c>
      <c r="B391" t="s">
        <v>36</v>
      </c>
      <c r="C391" t="s">
        <v>453</v>
      </c>
      <c r="D391">
        <v>5000</v>
      </c>
      <c r="E391" t="s">
        <v>8</v>
      </c>
      <c r="F391" t="s">
        <v>9</v>
      </c>
    </row>
    <row r="392" spans="1:6" x14ac:dyDescent="0.25">
      <c r="A392">
        <v>391</v>
      </c>
      <c r="B392" t="s">
        <v>194</v>
      </c>
      <c r="C392" t="s">
        <v>454</v>
      </c>
      <c r="D392">
        <v>33700</v>
      </c>
      <c r="E392" t="s">
        <v>8</v>
      </c>
      <c r="F392" t="s">
        <v>9</v>
      </c>
    </row>
    <row r="393" spans="1:6" x14ac:dyDescent="0.25">
      <c r="A393">
        <v>392</v>
      </c>
      <c r="B393" t="s">
        <v>263</v>
      </c>
      <c r="C393" t="s">
        <v>455</v>
      </c>
      <c r="D393">
        <v>35000</v>
      </c>
      <c r="E393" t="s">
        <v>8</v>
      </c>
      <c r="F393" t="s">
        <v>9</v>
      </c>
    </row>
    <row r="394" spans="1:6" x14ac:dyDescent="0.25">
      <c r="A394">
        <v>393</v>
      </c>
      <c r="B394" t="s">
        <v>214</v>
      </c>
      <c r="C394" t="s">
        <v>456</v>
      </c>
      <c r="D394">
        <v>87400</v>
      </c>
      <c r="E394" t="s">
        <v>8</v>
      </c>
      <c r="F394" t="s">
        <v>9</v>
      </c>
    </row>
    <row r="395" spans="1:6" x14ac:dyDescent="0.25">
      <c r="A395">
        <v>394</v>
      </c>
      <c r="B395" t="s">
        <v>391</v>
      </c>
      <c r="C395" t="s">
        <v>457</v>
      </c>
      <c r="D395">
        <v>88000</v>
      </c>
      <c r="E395" t="s">
        <v>8</v>
      </c>
      <c r="F395" t="s">
        <v>9</v>
      </c>
    </row>
    <row r="396" spans="1:6" x14ac:dyDescent="0.25">
      <c r="A396">
        <v>395</v>
      </c>
      <c r="B396" t="s">
        <v>21</v>
      </c>
      <c r="C396" t="s">
        <v>458</v>
      </c>
      <c r="D396">
        <v>28800</v>
      </c>
      <c r="E396" t="s">
        <v>38</v>
      </c>
      <c r="F396" t="s">
        <v>9</v>
      </c>
    </row>
    <row r="397" spans="1:6" x14ac:dyDescent="0.25">
      <c r="A397">
        <v>396</v>
      </c>
      <c r="B397" t="s">
        <v>285</v>
      </c>
      <c r="C397" t="s">
        <v>459</v>
      </c>
      <c r="D397">
        <v>28600</v>
      </c>
      <c r="E397" t="s">
        <v>8</v>
      </c>
      <c r="F397" t="s">
        <v>9</v>
      </c>
    </row>
    <row r="398" spans="1:6" x14ac:dyDescent="0.25">
      <c r="A398">
        <v>397</v>
      </c>
      <c r="B398" t="s">
        <v>263</v>
      </c>
      <c r="C398" t="s">
        <v>448</v>
      </c>
      <c r="D398">
        <v>38700</v>
      </c>
      <c r="E398" t="s">
        <v>23</v>
      </c>
      <c r="F398" t="s">
        <v>9</v>
      </c>
    </row>
    <row r="399" spans="1:6" x14ac:dyDescent="0.25">
      <c r="A399">
        <v>398</v>
      </c>
      <c r="B399" t="s">
        <v>184</v>
      </c>
      <c r="C399" t="s">
        <v>449</v>
      </c>
      <c r="D399">
        <v>12800</v>
      </c>
      <c r="E399" t="s">
        <v>8</v>
      </c>
      <c r="F399" t="s">
        <v>9</v>
      </c>
    </row>
    <row r="400" spans="1:6" x14ac:dyDescent="0.25">
      <c r="A400">
        <v>399</v>
      </c>
      <c r="B400" t="s">
        <v>250</v>
      </c>
      <c r="C400" t="s">
        <v>450</v>
      </c>
      <c r="D400">
        <v>7600</v>
      </c>
      <c r="E400" t="s">
        <v>8</v>
      </c>
      <c r="F400" t="s">
        <v>9</v>
      </c>
    </row>
    <row r="401" spans="1:6" x14ac:dyDescent="0.25">
      <c r="A401">
        <v>400</v>
      </c>
      <c r="B401" t="s">
        <v>317</v>
      </c>
      <c r="C401" t="s">
        <v>451</v>
      </c>
      <c r="D401">
        <v>41200</v>
      </c>
      <c r="E401" t="s">
        <v>8</v>
      </c>
      <c r="F401" t="s">
        <v>20</v>
      </c>
    </row>
    <row r="402" spans="1:6" x14ac:dyDescent="0.25">
      <c r="A402">
        <v>401</v>
      </c>
      <c r="B402" t="s">
        <v>329</v>
      </c>
      <c r="C402" t="s">
        <v>452</v>
      </c>
      <c r="D402">
        <v>12500</v>
      </c>
      <c r="E402" t="s">
        <v>8</v>
      </c>
      <c r="F402" t="s">
        <v>9</v>
      </c>
    </row>
    <row r="403" spans="1:6" x14ac:dyDescent="0.25">
      <c r="A403">
        <v>402</v>
      </c>
      <c r="B403" t="s">
        <v>205</v>
      </c>
      <c r="C403" t="s">
        <v>453</v>
      </c>
      <c r="D403">
        <v>8500</v>
      </c>
      <c r="E403" t="s">
        <v>8</v>
      </c>
      <c r="F403" t="s">
        <v>9</v>
      </c>
    </row>
    <row r="404" spans="1:6" x14ac:dyDescent="0.25">
      <c r="A404">
        <v>403</v>
      </c>
      <c r="B404" t="s">
        <v>154</v>
      </c>
      <c r="C404" t="s">
        <v>454</v>
      </c>
      <c r="D404">
        <v>11300</v>
      </c>
      <c r="E404" t="s">
        <v>23</v>
      </c>
      <c r="F404" t="s">
        <v>9</v>
      </c>
    </row>
    <row r="405" spans="1:6" x14ac:dyDescent="0.25">
      <c r="A405">
        <v>404</v>
      </c>
      <c r="B405" t="s">
        <v>287</v>
      </c>
      <c r="C405" t="s">
        <v>455</v>
      </c>
      <c r="D405">
        <v>12100</v>
      </c>
      <c r="E405" t="s">
        <v>8</v>
      </c>
      <c r="F405" t="s">
        <v>9</v>
      </c>
    </row>
    <row r="406" spans="1:6" x14ac:dyDescent="0.25">
      <c r="A406">
        <v>405</v>
      </c>
      <c r="B406" t="s">
        <v>311</v>
      </c>
      <c r="C406" t="s">
        <v>456</v>
      </c>
      <c r="D406">
        <v>6900</v>
      </c>
      <c r="E406" t="s">
        <v>8</v>
      </c>
      <c r="F406" t="s">
        <v>9</v>
      </c>
    </row>
    <row r="407" spans="1:6" x14ac:dyDescent="0.25">
      <c r="A407">
        <v>406</v>
      </c>
      <c r="B407" t="s">
        <v>200</v>
      </c>
      <c r="C407" t="s">
        <v>457</v>
      </c>
      <c r="D407">
        <v>19900</v>
      </c>
      <c r="E407" t="s">
        <v>8</v>
      </c>
      <c r="F407" t="s">
        <v>9</v>
      </c>
    </row>
    <row r="408" spans="1:6" x14ac:dyDescent="0.25">
      <c r="A408">
        <v>407</v>
      </c>
      <c r="B408" t="s">
        <v>45</v>
      </c>
      <c r="C408" t="s">
        <v>458</v>
      </c>
      <c r="D408">
        <v>15100</v>
      </c>
      <c r="E408" t="s">
        <v>8</v>
      </c>
      <c r="F408" t="s">
        <v>9</v>
      </c>
    </row>
    <row r="409" spans="1:6" x14ac:dyDescent="0.25">
      <c r="A409">
        <v>408</v>
      </c>
      <c r="B409" t="s">
        <v>283</v>
      </c>
      <c r="C409" t="s">
        <v>459</v>
      </c>
      <c r="D409">
        <v>26800</v>
      </c>
      <c r="E409" t="s">
        <v>8</v>
      </c>
      <c r="F409" t="s">
        <v>9</v>
      </c>
    </row>
    <row r="410" spans="1:6" x14ac:dyDescent="0.25">
      <c r="A410">
        <v>409</v>
      </c>
      <c r="B410" t="s">
        <v>153</v>
      </c>
      <c r="C410" t="s">
        <v>448</v>
      </c>
      <c r="D410">
        <v>17100</v>
      </c>
      <c r="E410" t="s">
        <v>8</v>
      </c>
      <c r="F410" t="s">
        <v>9</v>
      </c>
    </row>
    <row r="411" spans="1:6" x14ac:dyDescent="0.25">
      <c r="A411">
        <v>410</v>
      </c>
      <c r="B411" t="s">
        <v>236</v>
      </c>
      <c r="C411" t="s">
        <v>449</v>
      </c>
      <c r="D411">
        <v>36800</v>
      </c>
      <c r="E411" t="s">
        <v>8</v>
      </c>
      <c r="F411" t="s">
        <v>9</v>
      </c>
    </row>
    <row r="412" spans="1:6" x14ac:dyDescent="0.25">
      <c r="A412">
        <v>411</v>
      </c>
      <c r="B412" t="s">
        <v>364</v>
      </c>
      <c r="C412" t="s">
        <v>450</v>
      </c>
      <c r="D412">
        <v>14400</v>
      </c>
      <c r="E412" t="s">
        <v>8</v>
      </c>
      <c r="F412" t="s">
        <v>9</v>
      </c>
    </row>
    <row r="413" spans="1:6" x14ac:dyDescent="0.25">
      <c r="A413">
        <v>412</v>
      </c>
      <c r="B413" t="s">
        <v>308</v>
      </c>
      <c r="C413" t="s">
        <v>451</v>
      </c>
      <c r="D413">
        <v>105200</v>
      </c>
      <c r="E413" t="s">
        <v>8</v>
      </c>
      <c r="F413" t="s">
        <v>9</v>
      </c>
    </row>
    <row r="414" spans="1:6" x14ac:dyDescent="0.25">
      <c r="A414">
        <v>413</v>
      </c>
      <c r="B414" t="s">
        <v>162</v>
      </c>
      <c r="C414" t="s">
        <v>452</v>
      </c>
      <c r="D414">
        <v>20700</v>
      </c>
      <c r="E414" t="s">
        <v>8</v>
      </c>
      <c r="F414" t="s">
        <v>9</v>
      </c>
    </row>
    <row r="415" spans="1:6" x14ac:dyDescent="0.25">
      <c r="A415">
        <v>414</v>
      </c>
      <c r="B415" t="s">
        <v>89</v>
      </c>
      <c r="C415" t="s">
        <v>453</v>
      </c>
      <c r="D415">
        <v>24700</v>
      </c>
      <c r="E415" t="s">
        <v>8</v>
      </c>
      <c r="F415" t="s">
        <v>9</v>
      </c>
    </row>
    <row r="416" spans="1:6" x14ac:dyDescent="0.25">
      <c r="A416">
        <v>415</v>
      </c>
      <c r="B416" t="s">
        <v>144</v>
      </c>
      <c r="C416" t="s">
        <v>454</v>
      </c>
      <c r="D416">
        <v>16500</v>
      </c>
      <c r="E416" t="s">
        <v>8</v>
      </c>
      <c r="F416" t="s">
        <v>9</v>
      </c>
    </row>
    <row r="417" spans="1:6" x14ac:dyDescent="0.25">
      <c r="A417">
        <v>416</v>
      </c>
      <c r="B417" t="s">
        <v>56</v>
      </c>
      <c r="C417" t="s">
        <v>455</v>
      </c>
      <c r="D417">
        <v>26800</v>
      </c>
      <c r="E417" t="s">
        <v>8</v>
      </c>
      <c r="F417" t="s">
        <v>9</v>
      </c>
    </row>
    <row r="418" spans="1:6" x14ac:dyDescent="0.25">
      <c r="A418">
        <v>417</v>
      </c>
      <c r="B418" t="s">
        <v>102</v>
      </c>
      <c r="C418" t="s">
        <v>456</v>
      </c>
      <c r="D418">
        <v>143300</v>
      </c>
      <c r="E418" t="s">
        <v>8</v>
      </c>
      <c r="F418" t="s">
        <v>9</v>
      </c>
    </row>
    <row r="419" spans="1:6" x14ac:dyDescent="0.25">
      <c r="A419">
        <v>418</v>
      </c>
      <c r="B419" t="s">
        <v>239</v>
      </c>
      <c r="C419" t="s">
        <v>457</v>
      </c>
      <c r="D419">
        <v>34100</v>
      </c>
      <c r="E419" t="s">
        <v>8</v>
      </c>
      <c r="F419" t="s">
        <v>20</v>
      </c>
    </row>
    <row r="420" spans="1:6" x14ac:dyDescent="0.25">
      <c r="A420">
        <v>419</v>
      </c>
      <c r="B420" t="s">
        <v>188</v>
      </c>
      <c r="C420" t="s">
        <v>458</v>
      </c>
      <c r="D420">
        <v>65700</v>
      </c>
      <c r="E420" t="s">
        <v>8</v>
      </c>
      <c r="F420" t="s">
        <v>9</v>
      </c>
    </row>
    <row r="421" spans="1:6" x14ac:dyDescent="0.25">
      <c r="A421">
        <v>420</v>
      </c>
      <c r="B421" t="s">
        <v>36</v>
      </c>
      <c r="C421" t="s">
        <v>459</v>
      </c>
      <c r="D421">
        <v>30400</v>
      </c>
      <c r="E421" t="s">
        <v>8</v>
      </c>
      <c r="F421" t="s">
        <v>20</v>
      </c>
    </row>
    <row r="422" spans="1:6" x14ac:dyDescent="0.25">
      <c r="A422">
        <v>421</v>
      </c>
      <c r="B422" t="s">
        <v>363</v>
      </c>
      <c r="C422" t="s">
        <v>448</v>
      </c>
      <c r="D422">
        <v>37300</v>
      </c>
      <c r="E422" t="s">
        <v>8</v>
      </c>
      <c r="F422" t="s">
        <v>9</v>
      </c>
    </row>
    <row r="423" spans="1:6" x14ac:dyDescent="0.25">
      <c r="A423">
        <v>422</v>
      </c>
      <c r="B423" t="s">
        <v>170</v>
      </c>
      <c r="C423" t="s">
        <v>449</v>
      </c>
      <c r="D423">
        <v>34800</v>
      </c>
      <c r="E423" t="s">
        <v>8</v>
      </c>
      <c r="F423" t="s">
        <v>9</v>
      </c>
    </row>
    <row r="424" spans="1:6" x14ac:dyDescent="0.25">
      <c r="A424">
        <v>423</v>
      </c>
      <c r="B424" t="s">
        <v>284</v>
      </c>
      <c r="C424" t="s">
        <v>450</v>
      </c>
      <c r="D424">
        <v>30400</v>
      </c>
      <c r="E424" t="s">
        <v>23</v>
      </c>
      <c r="F424" t="s">
        <v>9</v>
      </c>
    </row>
    <row r="425" spans="1:6" x14ac:dyDescent="0.25">
      <c r="A425">
        <v>424</v>
      </c>
      <c r="B425" t="s">
        <v>277</v>
      </c>
      <c r="C425" t="s">
        <v>451</v>
      </c>
      <c r="D425">
        <v>17700</v>
      </c>
      <c r="E425" t="s">
        <v>8</v>
      </c>
      <c r="F425" t="s">
        <v>9</v>
      </c>
    </row>
    <row r="426" spans="1:6" x14ac:dyDescent="0.25">
      <c r="A426">
        <v>425</v>
      </c>
      <c r="B426" t="s">
        <v>313</v>
      </c>
      <c r="C426" t="s">
        <v>452</v>
      </c>
      <c r="D426">
        <v>10900</v>
      </c>
      <c r="E426" t="s">
        <v>8</v>
      </c>
      <c r="F426" t="s">
        <v>9</v>
      </c>
    </row>
    <row r="427" spans="1:6" x14ac:dyDescent="0.25">
      <c r="A427">
        <v>426</v>
      </c>
      <c r="B427" t="s">
        <v>328</v>
      </c>
      <c r="C427" t="s">
        <v>453</v>
      </c>
      <c r="D427">
        <v>28700</v>
      </c>
      <c r="E427" t="s">
        <v>8</v>
      </c>
      <c r="F427" t="s">
        <v>9</v>
      </c>
    </row>
    <row r="428" spans="1:6" x14ac:dyDescent="0.25">
      <c r="A428">
        <v>427</v>
      </c>
      <c r="B428" t="s">
        <v>157</v>
      </c>
      <c r="C428" t="s">
        <v>454</v>
      </c>
      <c r="D428">
        <v>10800</v>
      </c>
      <c r="E428" t="s">
        <v>8</v>
      </c>
      <c r="F428" t="s">
        <v>9</v>
      </c>
    </row>
    <row r="429" spans="1:6" x14ac:dyDescent="0.25">
      <c r="A429">
        <v>428</v>
      </c>
      <c r="B429" t="s">
        <v>228</v>
      </c>
      <c r="C429" t="s">
        <v>455</v>
      </c>
      <c r="D429">
        <v>42400</v>
      </c>
      <c r="E429" t="s">
        <v>23</v>
      </c>
      <c r="F429" t="s">
        <v>9</v>
      </c>
    </row>
    <row r="430" spans="1:6" x14ac:dyDescent="0.25">
      <c r="A430">
        <v>429</v>
      </c>
      <c r="B430" t="s">
        <v>26</v>
      </c>
      <c r="C430" t="s">
        <v>456</v>
      </c>
      <c r="D430">
        <v>29200</v>
      </c>
      <c r="E430" t="s">
        <v>8</v>
      </c>
      <c r="F430" t="s">
        <v>9</v>
      </c>
    </row>
    <row r="431" spans="1:6" x14ac:dyDescent="0.25">
      <c r="A431">
        <v>430</v>
      </c>
      <c r="B431" t="s">
        <v>387</v>
      </c>
      <c r="C431" t="s">
        <v>457</v>
      </c>
      <c r="D431">
        <v>106300</v>
      </c>
      <c r="E431" t="s">
        <v>8</v>
      </c>
      <c r="F431" t="s">
        <v>9</v>
      </c>
    </row>
    <row r="432" spans="1:6" x14ac:dyDescent="0.25">
      <c r="A432">
        <v>431</v>
      </c>
      <c r="B432" t="s">
        <v>82</v>
      </c>
      <c r="C432" t="s">
        <v>458</v>
      </c>
      <c r="D432">
        <v>7800</v>
      </c>
      <c r="E432" t="s">
        <v>8</v>
      </c>
      <c r="F432" t="s">
        <v>9</v>
      </c>
    </row>
    <row r="433" spans="1:6" x14ac:dyDescent="0.25">
      <c r="A433">
        <v>432</v>
      </c>
      <c r="B433" t="s">
        <v>159</v>
      </c>
      <c r="C433" t="s">
        <v>459</v>
      </c>
      <c r="D433">
        <v>88500</v>
      </c>
      <c r="E433" t="s">
        <v>8</v>
      </c>
      <c r="F433" t="s">
        <v>9</v>
      </c>
    </row>
    <row r="434" spans="1:6" x14ac:dyDescent="0.25">
      <c r="A434">
        <v>433</v>
      </c>
      <c r="B434" t="s">
        <v>215</v>
      </c>
      <c r="C434" t="s">
        <v>448</v>
      </c>
      <c r="D434">
        <v>6100</v>
      </c>
      <c r="E434" t="s">
        <v>38</v>
      </c>
      <c r="F434" t="s">
        <v>20</v>
      </c>
    </row>
    <row r="435" spans="1:6" x14ac:dyDescent="0.25">
      <c r="A435">
        <v>434</v>
      </c>
      <c r="B435" t="s">
        <v>32</v>
      </c>
      <c r="C435" t="s">
        <v>449</v>
      </c>
      <c r="D435">
        <v>27900</v>
      </c>
      <c r="E435" t="s">
        <v>23</v>
      </c>
      <c r="F435" t="s">
        <v>9</v>
      </c>
    </row>
    <row r="436" spans="1:6" x14ac:dyDescent="0.25">
      <c r="A436">
        <v>435</v>
      </c>
      <c r="B436" t="s">
        <v>308</v>
      </c>
      <c r="C436" t="s">
        <v>450</v>
      </c>
      <c r="D436">
        <v>48400</v>
      </c>
      <c r="E436" t="s">
        <v>8</v>
      </c>
      <c r="F436" t="s">
        <v>9</v>
      </c>
    </row>
    <row r="437" spans="1:6" x14ac:dyDescent="0.25">
      <c r="A437">
        <v>436</v>
      </c>
      <c r="B437" t="s">
        <v>277</v>
      </c>
      <c r="C437" t="s">
        <v>451</v>
      </c>
      <c r="D437">
        <v>8400</v>
      </c>
      <c r="E437" t="s">
        <v>38</v>
      </c>
      <c r="F437" t="s">
        <v>9</v>
      </c>
    </row>
    <row r="438" spans="1:6" x14ac:dyDescent="0.25">
      <c r="A438">
        <v>437</v>
      </c>
      <c r="B438" t="s">
        <v>316</v>
      </c>
      <c r="C438" t="s">
        <v>452</v>
      </c>
      <c r="D438">
        <v>38400</v>
      </c>
      <c r="E438" t="s">
        <v>8</v>
      </c>
      <c r="F438" t="s">
        <v>9</v>
      </c>
    </row>
    <row r="439" spans="1:6" x14ac:dyDescent="0.25">
      <c r="A439">
        <v>438</v>
      </c>
      <c r="B439" t="s">
        <v>319</v>
      </c>
      <c r="C439" t="s">
        <v>453</v>
      </c>
      <c r="D439">
        <v>35700</v>
      </c>
      <c r="E439" t="s">
        <v>8</v>
      </c>
      <c r="F439" t="s">
        <v>9</v>
      </c>
    </row>
    <row r="440" spans="1:6" x14ac:dyDescent="0.25">
      <c r="A440">
        <v>439</v>
      </c>
      <c r="B440" t="s">
        <v>358</v>
      </c>
      <c r="C440" t="s">
        <v>454</v>
      </c>
      <c r="D440">
        <v>5000</v>
      </c>
      <c r="E440" t="s">
        <v>8</v>
      </c>
      <c r="F440" t="s">
        <v>9</v>
      </c>
    </row>
    <row r="441" spans="1:6" x14ac:dyDescent="0.25">
      <c r="A441">
        <v>440</v>
      </c>
      <c r="B441" t="s">
        <v>275</v>
      </c>
      <c r="C441" t="s">
        <v>455</v>
      </c>
      <c r="D441">
        <v>13200</v>
      </c>
      <c r="E441" t="s">
        <v>8</v>
      </c>
      <c r="F441" t="s">
        <v>9</v>
      </c>
    </row>
    <row r="442" spans="1:6" x14ac:dyDescent="0.25">
      <c r="A442">
        <v>441</v>
      </c>
      <c r="B442" t="s">
        <v>312</v>
      </c>
      <c r="C442" t="s">
        <v>456</v>
      </c>
      <c r="D442">
        <v>9900</v>
      </c>
      <c r="E442" t="s">
        <v>8</v>
      </c>
      <c r="F442" t="s">
        <v>9</v>
      </c>
    </row>
    <row r="443" spans="1:6" x14ac:dyDescent="0.25">
      <c r="A443">
        <v>442</v>
      </c>
      <c r="B443" t="s">
        <v>92</v>
      </c>
      <c r="C443" t="s">
        <v>457</v>
      </c>
      <c r="D443">
        <v>18600</v>
      </c>
      <c r="E443" t="s">
        <v>8</v>
      </c>
      <c r="F443" t="s">
        <v>9</v>
      </c>
    </row>
    <row r="444" spans="1:6" x14ac:dyDescent="0.25">
      <c r="A444">
        <v>443</v>
      </c>
      <c r="B444" t="s">
        <v>447</v>
      </c>
      <c r="C444" t="s">
        <v>458</v>
      </c>
      <c r="D444">
        <v>23900</v>
      </c>
      <c r="E444" t="s">
        <v>8</v>
      </c>
      <c r="F444" t="s">
        <v>9</v>
      </c>
    </row>
    <row r="445" spans="1:6" x14ac:dyDescent="0.25">
      <c r="A445">
        <v>444</v>
      </c>
      <c r="B445" t="s">
        <v>420</v>
      </c>
      <c r="C445" t="s">
        <v>459</v>
      </c>
      <c r="D445">
        <v>12900</v>
      </c>
      <c r="E445" t="s">
        <v>38</v>
      </c>
      <c r="F445" t="s">
        <v>20</v>
      </c>
    </row>
    <row r="446" spans="1:6" x14ac:dyDescent="0.25">
      <c r="A446">
        <v>445</v>
      </c>
      <c r="B446" t="s">
        <v>133</v>
      </c>
      <c r="C446" t="s">
        <v>448</v>
      </c>
      <c r="D446">
        <v>28800</v>
      </c>
      <c r="E446" t="s">
        <v>8</v>
      </c>
      <c r="F446" t="s">
        <v>9</v>
      </c>
    </row>
    <row r="447" spans="1:6" x14ac:dyDescent="0.25">
      <c r="A447">
        <v>446</v>
      </c>
      <c r="B447" t="s">
        <v>396</v>
      </c>
      <c r="C447" t="s">
        <v>451</v>
      </c>
      <c r="D447">
        <v>420000</v>
      </c>
      <c r="E447" t="s">
        <v>38</v>
      </c>
      <c r="F447" t="s">
        <v>20</v>
      </c>
    </row>
    <row r="448" spans="1:6" x14ac:dyDescent="0.25">
      <c r="A448">
        <v>447</v>
      </c>
      <c r="B448" t="s">
        <v>172</v>
      </c>
      <c r="C448" t="s">
        <v>450</v>
      </c>
      <c r="D448">
        <v>73100</v>
      </c>
      <c r="E448" t="s">
        <v>8</v>
      </c>
      <c r="F448" t="s">
        <v>9</v>
      </c>
    </row>
    <row r="449" spans="1:6" x14ac:dyDescent="0.25">
      <c r="A449">
        <v>448</v>
      </c>
      <c r="B449" t="s">
        <v>351</v>
      </c>
      <c r="C449" t="s">
        <v>451</v>
      </c>
      <c r="D449">
        <v>16100</v>
      </c>
      <c r="E449" t="s">
        <v>8</v>
      </c>
      <c r="F449" t="s">
        <v>9</v>
      </c>
    </row>
    <row r="450" spans="1:6" x14ac:dyDescent="0.25">
      <c r="A450">
        <v>449</v>
      </c>
      <c r="B450" t="s">
        <v>222</v>
      </c>
      <c r="C450" t="s">
        <v>452</v>
      </c>
      <c r="D450">
        <v>42800</v>
      </c>
      <c r="E450" t="s">
        <v>8</v>
      </c>
      <c r="F450" t="s">
        <v>9</v>
      </c>
    </row>
    <row r="451" spans="1:6" x14ac:dyDescent="0.25">
      <c r="A451">
        <v>450</v>
      </c>
      <c r="B451" t="s">
        <v>258</v>
      </c>
      <c r="C451" t="s">
        <v>453</v>
      </c>
      <c r="D451">
        <v>20300</v>
      </c>
      <c r="E451" t="s">
        <v>38</v>
      </c>
      <c r="F451" t="s">
        <v>20</v>
      </c>
    </row>
    <row r="452" spans="1:6" x14ac:dyDescent="0.25">
      <c r="A452">
        <v>451</v>
      </c>
      <c r="B452" t="s">
        <v>403</v>
      </c>
      <c r="C452" t="s">
        <v>454</v>
      </c>
      <c r="D452">
        <v>14600</v>
      </c>
      <c r="E452" t="s">
        <v>8</v>
      </c>
      <c r="F452" t="s">
        <v>9</v>
      </c>
    </row>
    <row r="453" spans="1:6" x14ac:dyDescent="0.25">
      <c r="A453">
        <v>452</v>
      </c>
      <c r="B453" t="s">
        <v>249</v>
      </c>
      <c r="C453" t="s">
        <v>455</v>
      </c>
      <c r="D453">
        <v>61400</v>
      </c>
      <c r="E453" t="s">
        <v>8</v>
      </c>
      <c r="F453" t="s">
        <v>9</v>
      </c>
    </row>
    <row r="454" spans="1:6" x14ac:dyDescent="0.25">
      <c r="A454">
        <v>453</v>
      </c>
      <c r="B454" t="s">
        <v>402</v>
      </c>
      <c r="C454" t="s">
        <v>456</v>
      </c>
      <c r="D454">
        <v>17700</v>
      </c>
      <c r="E454" t="s">
        <v>8</v>
      </c>
      <c r="F454" t="s">
        <v>9</v>
      </c>
    </row>
    <row r="455" spans="1:6" x14ac:dyDescent="0.25">
      <c r="A455">
        <v>454</v>
      </c>
      <c r="B455" t="s">
        <v>247</v>
      </c>
      <c r="C455" t="s">
        <v>457</v>
      </c>
      <c r="D455">
        <v>51200</v>
      </c>
      <c r="E455" t="s">
        <v>8</v>
      </c>
      <c r="F455" t="s">
        <v>9</v>
      </c>
    </row>
    <row r="456" spans="1:6" x14ac:dyDescent="0.25">
      <c r="A456">
        <v>455</v>
      </c>
      <c r="B456" t="s">
        <v>265</v>
      </c>
      <c r="C456" t="s">
        <v>458</v>
      </c>
      <c r="D456">
        <v>6500</v>
      </c>
      <c r="E456" t="s">
        <v>23</v>
      </c>
      <c r="F456" t="s">
        <v>9</v>
      </c>
    </row>
    <row r="457" spans="1:6" x14ac:dyDescent="0.25">
      <c r="A457">
        <v>456</v>
      </c>
      <c r="B457" t="s">
        <v>324</v>
      </c>
      <c r="C457" t="s">
        <v>459</v>
      </c>
      <c r="D457">
        <v>10400</v>
      </c>
      <c r="E457" t="s">
        <v>8</v>
      </c>
      <c r="F457" t="s">
        <v>9</v>
      </c>
    </row>
    <row r="458" spans="1:6" x14ac:dyDescent="0.25">
      <c r="A458">
        <v>457</v>
      </c>
      <c r="B458" t="s">
        <v>213</v>
      </c>
      <c r="C458" t="s">
        <v>448</v>
      </c>
      <c r="D458">
        <v>23300</v>
      </c>
      <c r="E458" t="s">
        <v>8</v>
      </c>
      <c r="F458" t="s">
        <v>9</v>
      </c>
    </row>
    <row r="459" spans="1:6" x14ac:dyDescent="0.25">
      <c r="A459">
        <v>458</v>
      </c>
      <c r="B459" t="s">
        <v>374</v>
      </c>
      <c r="C459" t="s">
        <v>449</v>
      </c>
      <c r="D459">
        <v>12900</v>
      </c>
      <c r="E459" t="s">
        <v>8</v>
      </c>
      <c r="F459" t="s">
        <v>9</v>
      </c>
    </row>
    <row r="460" spans="1:6" x14ac:dyDescent="0.25">
      <c r="A460">
        <v>459</v>
      </c>
      <c r="B460" t="s">
        <v>59</v>
      </c>
      <c r="C460" t="s">
        <v>450</v>
      </c>
      <c r="D460">
        <v>12800</v>
      </c>
      <c r="E460" t="s">
        <v>38</v>
      </c>
      <c r="F460" t="s">
        <v>20</v>
      </c>
    </row>
    <row r="461" spans="1:6" x14ac:dyDescent="0.25">
      <c r="A461">
        <v>460</v>
      </c>
      <c r="B461" t="s">
        <v>101</v>
      </c>
      <c r="C461" t="s">
        <v>451</v>
      </c>
      <c r="D461">
        <v>11200</v>
      </c>
      <c r="E461" t="s">
        <v>8</v>
      </c>
      <c r="F461" t="s">
        <v>9</v>
      </c>
    </row>
    <row r="462" spans="1:6" x14ac:dyDescent="0.25">
      <c r="A462">
        <v>461</v>
      </c>
      <c r="B462" t="s">
        <v>397</v>
      </c>
      <c r="C462" t="s">
        <v>452</v>
      </c>
      <c r="D462">
        <v>12900</v>
      </c>
      <c r="E462" t="s">
        <v>38</v>
      </c>
      <c r="F462" t="s">
        <v>20</v>
      </c>
    </row>
    <row r="463" spans="1:6" x14ac:dyDescent="0.25">
      <c r="A463">
        <v>462</v>
      </c>
      <c r="B463" t="s">
        <v>134</v>
      </c>
      <c r="C463" t="s">
        <v>453</v>
      </c>
      <c r="D463">
        <v>32500</v>
      </c>
      <c r="E463" t="s">
        <v>23</v>
      </c>
      <c r="F463" t="s">
        <v>9</v>
      </c>
    </row>
    <row r="464" spans="1:6" x14ac:dyDescent="0.25">
      <c r="A464">
        <v>463</v>
      </c>
      <c r="B464" t="s">
        <v>83</v>
      </c>
      <c r="C464" t="s">
        <v>454</v>
      </c>
      <c r="D464">
        <v>30700</v>
      </c>
      <c r="E464" t="s">
        <v>8</v>
      </c>
      <c r="F464" t="s">
        <v>9</v>
      </c>
    </row>
    <row r="465" spans="1:6" x14ac:dyDescent="0.25">
      <c r="A465">
        <v>464</v>
      </c>
      <c r="B465" t="s">
        <v>194</v>
      </c>
      <c r="C465" t="s">
        <v>455</v>
      </c>
      <c r="D465">
        <v>14800</v>
      </c>
      <c r="E465" t="s">
        <v>23</v>
      </c>
      <c r="F465" t="s">
        <v>9</v>
      </c>
    </row>
    <row r="466" spans="1:6" x14ac:dyDescent="0.25">
      <c r="A466">
        <v>465</v>
      </c>
      <c r="B466" t="s">
        <v>177</v>
      </c>
      <c r="C466" t="s">
        <v>456</v>
      </c>
      <c r="D466">
        <v>27600</v>
      </c>
      <c r="E466" t="s">
        <v>38</v>
      </c>
      <c r="F466" t="s">
        <v>20</v>
      </c>
    </row>
    <row r="467" spans="1:6" x14ac:dyDescent="0.25">
      <c r="A467">
        <v>466</v>
      </c>
      <c r="B467" t="s">
        <v>91</v>
      </c>
      <c r="C467" t="s">
        <v>457</v>
      </c>
      <c r="D467">
        <v>17500</v>
      </c>
      <c r="E467" t="s">
        <v>8</v>
      </c>
      <c r="F467" t="s">
        <v>9</v>
      </c>
    </row>
    <row r="468" spans="1:6" x14ac:dyDescent="0.25">
      <c r="A468">
        <v>467</v>
      </c>
      <c r="B468" t="s">
        <v>211</v>
      </c>
      <c r="C468" t="s">
        <v>458</v>
      </c>
      <c r="D468">
        <v>27300</v>
      </c>
      <c r="E468" t="s">
        <v>8</v>
      </c>
      <c r="F468" t="s">
        <v>9</v>
      </c>
    </row>
    <row r="469" spans="1:6" x14ac:dyDescent="0.25">
      <c r="A469">
        <v>468</v>
      </c>
      <c r="B469" t="s">
        <v>318</v>
      </c>
      <c r="C469" t="s">
        <v>459</v>
      </c>
      <c r="D469">
        <v>7000</v>
      </c>
      <c r="E469" t="s">
        <v>8</v>
      </c>
      <c r="F469" t="s">
        <v>9</v>
      </c>
    </row>
    <row r="470" spans="1:6" x14ac:dyDescent="0.25">
      <c r="A470">
        <v>469</v>
      </c>
      <c r="B470" t="s">
        <v>242</v>
      </c>
      <c r="C470" t="s">
        <v>448</v>
      </c>
      <c r="D470">
        <v>6400</v>
      </c>
      <c r="E470" t="s">
        <v>38</v>
      </c>
      <c r="F470" t="s">
        <v>20</v>
      </c>
    </row>
    <row r="471" spans="1:6" x14ac:dyDescent="0.25">
      <c r="A471">
        <v>470</v>
      </c>
      <c r="B471" t="s">
        <v>288</v>
      </c>
      <c r="C471" t="s">
        <v>453</v>
      </c>
      <c r="D471">
        <v>0</v>
      </c>
      <c r="E471" t="s">
        <v>8</v>
      </c>
      <c r="F471" t="s">
        <v>9</v>
      </c>
    </row>
    <row r="472" spans="1:6" x14ac:dyDescent="0.25">
      <c r="A472">
        <v>471</v>
      </c>
      <c r="B472" t="s">
        <v>149</v>
      </c>
      <c r="C472" t="s">
        <v>450</v>
      </c>
      <c r="D472">
        <v>15900</v>
      </c>
      <c r="E472" t="s">
        <v>8</v>
      </c>
      <c r="F472" t="s">
        <v>9</v>
      </c>
    </row>
    <row r="473" spans="1:6" x14ac:dyDescent="0.25">
      <c r="A473">
        <v>472</v>
      </c>
      <c r="B473" t="s">
        <v>130</v>
      </c>
      <c r="C473" t="s">
        <v>451</v>
      </c>
      <c r="D473">
        <v>14200</v>
      </c>
      <c r="E473" t="s">
        <v>8</v>
      </c>
      <c r="F473" t="s">
        <v>9</v>
      </c>
    </row>
    <row r="474" spans="1:6" x14ac:dyDescent="0.25">
      <c r="A474">
        <v>473</v>
      </c>
      <c r="B474" t="s">
        <v>149</v>
      </c>
      <c r="C474" t="s">
        <v>452</v>
      </c>
      <c r="D474">
        <v>5000</v>
      </c>
      <c r="E474" t="s">
        <v>38</v>
      </c>
      <c r="F474" t="s">
        <v>9</v>
      </c>
    </row>
    <row r="475" spans="1:6" x14ac:dyDescent="0.25">
      <c r="A475">
        <v>474</v>
      </c>
      <c r="B475" t="s">
        <v>115</v>
      </c>
      <c r="C475" t="s">
        <v>453</v>
      </c>
      <c r="D475">
        <v>49200</v>
      </c>
      <c r="E475" t="s">
        <v>8</v>
      </c>
      <c r="F475" t="s">
        <v>9</v>
      </c>
    </row>
    <row r="476" spans="1:6" x14ac:dyDescent="0.25">
      <c r="A476">
        <v>475</v>
      </c>
      <c r="B476" t="s">
        <v>36</v>
      </c>
      <c r="C476" t="s">
        <v>454</v>
      </c>
      <c r="D476">
        <v>18900</v>
      </c>
      <c r="E476" t="s">
        <v>8</v>
      </c>
      <c r="F476" t="s">
        <v>9</v>
      </c>
    </row>
    <row r="477" spans="1:6" x14ac:dyDescent="0.25">
      <c r="A477">
        <v>476</v>
      </c>
      <c r="B477" t="s">
        <v>234</v>
      </c>
      <c r="C477" t="s">
        <v>455</v>
      </c>
      <c r="D477">
        <v>5000</v>
      </c>
      <c r="E477" t="s">
        <v>8</v>
      </c>
      <c r="F477" t="s">
        <v>9</v>
      </c>
    </row>
    <row r="478" spans="1:6" x14ac:dyDescent="0.25">
      <c r="A478">
        <v>477</v>
      </c>
      <c r="B478" t="s">
        <v>388</v>
      </c>
      <c r="C478" t="s">
        <v>456</v>
      </c>
      <c r="D478">
        <v>140000</v>
      </c>
      <c r="E478" t="s">
        <v>38</v>
      </c>
      <c r="F478" t="s">
        <v>20</v>
      </c>
    </row>
    <row r="479" spans="1:6" x14ac:dyDescent="0.25">
      <c r="A479">
        <v>478</v>
      </c>
      <c r="B479" t="s">
        <v>69</v>
      </c>
      <c r="C479" t="s">
        <v>457</v>
      </c>
      <c r="D479">
        <v>61800</v>
      </c>
      <c r="E479" t="s">
        <v>8</v>
      </c>
      <c r="F479" t="s">
        <v>9</v>
      </c>
    </row>
    <row r="480" spans="1:6" x14ac:dyDescent="0.25">
      <c r="A480">
        <v>479</v>
      </c>
      <c r="B480" t="s">
        <v>204</v>
      </c>
      <c r="C480" t="s">
        <v>458</v>
      </c>
      <c r="D480">
        <v>17600</v>
      </c>
      <c r="E480" t="s">
        <v>38</v>
      </c>
      <c r="F480" t="s">
        <v>9</v>
      </c>
    </row>
    <row r="481" spans="1:6" x14ac:dyDescent="0.25">
      <c r="A481">
        <v>480</v>
      </c>
      <c r="B481" t="s">
        <v>204</v>
      </c>
      <c r="C481" t="s">
        <v>459</v>
      </c>
      <c r="D481">
        <v>39200</v>
      </c>
      <c r="E481" t="s">
        <v>8</v>
      </c>
      <c r="F481" t="s">
        <v>9</v>
      </c>
    </row>
    <row r="482" spans="1:6" x14ac:dyDescent="0.25">
      <c r="A482">
        <v>481</v>
      </c>
      <c r="B482" t="s">
        <v>271</v>
      </c>
      <c r="C482" t="s">
        <v>448</v>
      </c>
      <c r="D482">
        <v>19400</v>
      </c>
      <c r="E482" t="s">
        <v>8</v>
      </c>
      <c r="F482" t="s">
        <v>9</v>
      </c>
    </row>
    <row r="483" spans="1:6" x14ac:dyDescent="0.25">
      <c r="A483">
        <v>482</v>
      </c>
      <c r="B483" t="s">
        <v>44</v>
      </c>
      <c r="C483" t="s">
        <v>449</v>
      </c>
      <c r="D483">
        <v>25300</v>
      </c>
      <c r="E483" t="s">
        <v>8</v>
      </c>
      <c r="F483" t="s">
        <v>9</v>
      </c>
    </row>
    <row r="484" spans="1:6" x14ac:dyDescent="0.25">
      <c r="A484">
        <v>483</v>
      </c>
      <c r="B484" t="s">
        <v>77</v>
      </c>
      <c r="C484" t="s">
        <v>450</v>
      </c>
      <c r="D484">
        <v>15400</v>
      </c>
      <c r="E484" t="s">
        <v>8</v>
      </c>
      <c r="F484" t="s">
        <v>9</v>
      </c>
    </row>
    <row r="485" spans="1:6" x14ac:dyDescent="0.25">
      <c r="A485">
        <v>484</v>
      </c>
      <c r="B485" t="s">
        <v>134</v>
      </c>
      <c r="C485" t="s">
        <v>451</v>
      </c>
      <c r="D485">
        <v>9300</v>
      </c>
      <c r="E485" t="s">
        <v>23</v>
      </c>
      <c r="F485" t="s">
        <v>9</v>
      </c>
    </row>
    <row r="486" spans="1:6" x14ac:dyDescent="0.25">
      <c r="A486">
        <v>485</v>
      </c>
      <c r="B486" t="s">
        <v>37</v>
      </c>
      <c r="C486" t="s">
        <v>452</v>
      </c>
      <c r="D486">
        <v>23200</v>
      </c>
      <c r="E486" t="s">
        <v>8</v>
      </c>
      <c r="F486" t="s">
        <v>9</v>
      </c>
    </row>
    <row r="487" spans="1:6" x14ac:dyDescent="0.25">
      <c r="A487">
        <v>486</v>
      </c>
      <c r="B487" t="s">
        <v>175</v>
      </c>
      <c r="C487" t="s">
        <v>450</v>
      </c>
      <c r="D487">
        <v>500000</v>
      </c>
      <c r="E487" t="s">
        <v>8</v>
      </c>
      <c r="F487" t="s">
        <v>9</v>
      </c>
    </row>
    <row r="488" spans="1:6" x14ac:dyDescent="0.25">
      <c r="A488">
        <v>487</v>
      </c>
      <c r="B488" t="s">
        <v>98</v>
      </c>
      <c r="C488" t="s">
        <v>454</v>
      </c>
      <c r="D488">
        <v>19200</v>
      </c>
      <c r="E488" t="s">
        <v>8</v>
      </c>
      <c r="F488" t="s">
        <v>9</v>
      </c>
    </row>
    <row r="489" spans="1:6" x14ac:dyDescent="0.25">
      <c r="A489">
        <v>488</v>
      </c>
      <c r="B489" t="s">
        <v>171</v>
      </c>
      <c r="C489" t="s">
        <v>455</v>
      </c>
      <c r="D489">
        <v>5600</v>
      </c>
      <c r="E489" t="s">
        <v>8</v>
      </c>
      <c r="F489" t="s">
        <v>9</v>
      </c>
    </row>
    <row r="490" spans="1:6" x14ac:dyDescent="0.25">
      <c r="A490">
        <v>489</v>
      </c>
      <c r="B490" t="s">
        <v>180</v>
      </c>
      <c r="C490" t="s">
        <v>452</v>
      </c>
      <c r="D490">
        <v>410000</v>
      </c>
      <c r="E490" t="s">
        <v>8</v>
      </c>
      <c r="F490" t="s">
        <v>9</v>
      </c>
    </row>
    <row r="491" spans="1:6" x14ac:dyDescent="0.25">
      <c r="A491">
        <v>490</v>
      </c>
      <c r="B491" t="s">
        <v>359</v>
      </c>
      <c r="C491" t="s">
        <v>457</v>
      </c>
      <c r="D491">
        <v>10700</v>
      </c>
      <c r="E491" t="s">
        <v>8</v>
      </c>
      <c r="F491" t="s">
        <v>9</v>
      </c>
    </row>
    <row r="492" spans="1:6" x14ac:dyDescent="0.25">
      <c r="A492">
        <v>491</v>
      </c>
      <c r="B492" t="s">
        <v>230</v>
      </c>
      <c r="C492" t="s">
        <v>458</v>
      </c>
      <c r="D492">
        <v>23000</v>
      </c>
      <c r="E492" t="s">
        <v>8</v>
      </c>
      <c r="F492" t="s">
        <v>9</v>
      </c>
    </row>
    <row r="493" spans="1:6" x14ac:dyDescent="0.25">
      <c r="A493">
        <v>492</v>
      </c>
      <c r="B493" t="s">
        <v>202</v>
      </c>
      <c r="C493" t="s">
        <v>459</v>
      </c>
      <c r="D493">
        <v>12400</v>
      </c>
      <c r="E493" t="s">
        <v>8</v>
      </c>
      <c r="F493" t="s">
        <v>20</v>
      </c>
    </row>
    <row r="494" spans="1:6" x14ac:dyDescent="0.25">
      <c r="A494">
        <v>493</v>
      </c>
      <c r="B494" t="s">
        <v>230</v>
      </c>
      <c r="C494" t="s">
        <v>448</v>
      </c>
      <c r="D494">
        <v>21100</v>
      </c>
      <c r="E494" t="s">
        <v>8</v>
      </c>
      <c r="F494" t="s">
        <v>9</v>
      </c>
    </row>
    <row r="495" spans="1:6" x14ac:dyDescent="0.25">
      <c r="A495">
        <v>494</v>
      </c>
      <c r="B495" t="s">
        <v>306</v>
      </c>
      <c r="C495" t="s">
        <v>449</v>
      </c>
      <c r="D495">
        <v>29300</v>
      </c>
      <c r="E495" t="s">
        <v>38</v>
      </c>
      <c r="F495" t="s">
        <v>20</v>
      </c>
    </row>
    <row r="496" spans="1:6" x14ac:dyDescent="0.25">
      <c r="A496">
        <v>495</v>
      </c>
      <c r="B496" t="s">
        <v>86</v>
      </c>
      <c r="C496" t="s">
        <v>450</v>
      </c>
      <c r="D496">
        <v>13700</v>
      </c>
      <c r="E496" t="s">
        <v>8</v>
      </c>
      <c r="F496" t="s">
        <v>9</v>
      </c>
    </row>
    <row r="497" spans="1:6" x14ac:dyDescent="0.25">
      <c r="A497">
        <v>496</v>
      </c>
      <c r="B497" t="s">
        <v>311</v>
      </c>
      <c r="C497" t="s">
        <v>451</v>
      </c>
      <c r="D497">
        <v>45900</v>
      </c>
      <c r="E497" t="s">
        <v>23</v>
      </c>
      <c r="F497" t="s">
        <v>9</v>
      </c>
    </row>
    <row r="498" spans="1:6" x14ac:dyDescent="0.25">
      <c r="A498">
        <v>497</v>
      </c>
      <c r="B498" t="s">
        <v>172</v>
      </c>
      <c r="C498" t="s">
        <v>452</v>
      </c>
      <c r="D498">
        <v>52400</v>
      </c>
      <c r="E498" t="s">
        <v>38</v>
      </c>
      <c r="F498" t="s">
        <v>20</v>
      </c>
    </row>
    <row r="499" spans="1:6" x14ac:dyDescent="0.25">
      <c r="A499">
        <v>498</v>
      </c>
      <c r="B499" t="s">
        <v>32</v>
      </c>
      <c r="C499" t="s">
        <v>453</v>
      </c>
      <c r="D499">
        <v>20900</v>
      </c>
      <c r="E499" t="s">
        <v>38</v>
      </c>
      <c r="F499" t="s">
        <v>20</v>
      </c>
    </row>
    <row r="500" spans="1:6" x14ac:dyDescent="0.25">
      <c r="A500">
        <v>499</v>
      </c>
      <c r="B500" t="s">
        <v>163</v>
      </c>
      <c r="C500" t="s">
        <v>454</v>
      </c>
      <c r="D500">
        <v>39600</v>
      </c>
      <c r="E500" t="s">
        <v>23</v>
      </c>
      <c r="F500" t="s">
        <v>9</v>
      </c>
    </row>
    <row r="501" spans="1:6" x14ac:dyDescent="0.25">
      <c r="A501">
        <v>500</v>
      </c>
      <c r="B501" t="s">
        <v>126</v>
      </c>
      <c r="C501" t="s">
        <v>455</v>
      </c>
      <c r="D501">
        <v>46300</v>
      </c>
      <c r="E501" t="s">
        <v>8</v>
      </c>
      <c r="F501" t="s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248</v>
      </c>
      <c r="C2" t="s">
        <v>460</v>
      </c>
      <c r="D2">
        <v>23400</v>
      </c>
      <c r="E2" t="s">
        <v>38</v>
      </c>
      <c r="F2" t="s">
        <v>20</v>
      </c>
    </row>
    <row r="3" spans="1:6" x14ac:dyDescent="0.25">
      <c r="A3">
        <v>2</v>
      </c>
      <c r="B3" t="s">
        <v>370</v>
      </c>
      <c r="C3" t="s">
        <v>461</v>
      </c>
      <c r="D3">
        <v>13700</v>
      </c>
      <c r="E3" t="s">
        <v>23</v>
      </c>
      <c r="F3" t="s">
        <v>9</v>
      </c>
    </row>
    <row r="4" spans="1:6" x14ac:dyDescent="0.25">
      <c r="A4">
        <v>3</v>
      </c>
      <c r="B4" t="s">
        <v>209</v>
      </c>
      <c r="C4" t="s">
        <v>462</v>
      </c>
      <c r="D4">
        <v>307500</v>
      </c>
      <c r="E4" t="s">
        <v>8</v>
      </c>
      <c r="F4" t="s">
        <v>20</v>
      </c>
    </row>
    <row r="5" spans="1:6" x14ac:dyDescent="0.25">
      <c r="A5">
        <v>4</v>
      </c>
      <c r="B5" t="s">
        <v>302</v>
      </c>
      <c r="C5" t="s">
        <v>463</v>
      </c>
      <c r="D5">
        <v>167100</v>
      </c>
      <c r="E5" t="s">
        <v>38</v>
      </c>
      <c r="F5" t="s">
        <v>20</v>
      </c>
    </row>
    <row r="6" spans="1:6" x14ac:dyDescent="0.25">
      <c r="A6">
        <v>5</v>
      </c>
      <c r="B6" t="s">
        <v>316</v>
      </c>
      <c r="C6" t="s">
        <v>464</v>
      </c>
      <c r="D6">
        <v>5000</v>
      </c>
      <c r="E6" t="s">
        <v>8</v>
      </c>
      <c r="F6" t="s">
        <v>9</v>
      </c>
    </row>
    <row r="7" spans="1:6" x14ac:dyDescent="0.25">
      <c r="A7">
        <v>6</v>
      </c>
      <c r="B7" t="s">
        <v>207</v>
      </c>
      <c r="C7" t="s">
        <v>465</v>
      </c>
      <c r="D7">
        <v>87600</v>
      </c>
      <c r="E7" t="s">
        <v>38</v>
      </c>
      <c r="F7" t="s">
        <v>20</v>
      </c>
    </row>
    <row r="8" spans="1:6" x14ac:dyDescent="0.25">
      <c r="A8">
        <v>7</v>
      </c>
      <c r="B8" t="s">
        <v>226</v>
      </c>
      <c r="C8" t="s">
        <v>466</v>
      </c>
      <c r="D8">
        <v>23000</v>
      </c>
      <c r="E8" t="s">
        <v>8</v>
      </c>
      <c r="F8" t="s">
        <v>20</v>
      </c>
    </row>
    <row r="9" spans="1:6" x14ac:dyDescent="0.25">
      <c r="A9">
        <v>8</v>
      </c>
      <c r="B9" t="s">
        <v>389</v>
      </c>
      <c r="C9" t="s">
        <v>467</v>
      </c>
      <c r="D9">
        <v>26200</v>
      </c>
      <c r="E9" t="s">
        <v>38</v>
      </c>
      <c r="F9" t="s">
        <v>20</v>
      </c>
    </row>
    <row r="10" spans="1:6" x14ac:dyDescent="0.25">
      <c r="A10">
        <v>9</v>
      </c>
      <c r="B10" t="s">
        <v>84</v>
      </c>
      <c r="C10" t="s">
        <v>468</v>
      </c>
      <c r="D10">
        <v>45100</v>
      </c>
      <c r="E10" t="s">
        <v>8</v>
      </c>
      <c r="F10" t="s">
        <v>9</v>
      </c>
    </row>
    <row r="11" spans="1:6" x14ac:dyDescent="0.25">
      <c r="A11">
        <v>10</v>
      </c>
      <c r="B11" t="s">
        <v>162</v>
      </c>
      <c r="C11" t="s">
        <v>469</v>
      </c>
      <c r="D11">
        <v>8100</v>
      </c>
      <c r="E11" t="s">
        <v>8</v>
      </c>
      <c r="F11" t="s">
        <v>9</v>
      </c>
    </row>
    <row r="12" spans="1:6" x14ac:dyDescent="0.25">
      <c r="A12">
        <v>11</v>
      </c>
      <c r="B12" t="s">
        <v>364</v>
      </c>
      <c r="C12" t="s">
        <v>470</v>
      </c>
      <c r="D12">
        <v>9100</v>
      </c>
      <c r="E12" t="s">
        <v>23</v>
      </c>
      <c r="F12" t="s">
        <v>9</v>
      </c>
    </row>
    <row r="13" spans="1:6" x14ac:dyDescent="0.25">
      <c r="A13">
        <v>12</v>
      </c>
      <c r="B13" t="s">
        <v>269</v>
      </c>
      <c r="C13" t="s">
        <v>471</v>
      </c>
      <c r="D13">
        <v>16400</v>
      </c>
      <c r="E13" t="s">
        <v>38</v>
      </c>
      <c r="F13" t="s">
        <v>20</v>
      </c>
    </row>
    <row r="14" spans="1:6" x14ac:dyDescent="0.25">
      <c r="A14">
        <v>13</v>
      </c>
      <c r="B14" t="s">
        <v>229</v>
      </c>
      <c r="C14" t="s">
        <v>460</v>
      </c>
      <c r="D14">
        <v>14500</v>
      </c>
      <c r="E14" t="s">
        <v>8</v>
      </c>
      <c r="F14" t="s">
        <v>9</v>
      </c>
    </row>
    <row r="15" spans="1:6" x14ac:dyDescent="0.25">
      <c r="A15">
        <v>14</v>
      </c>
      <c r="B15" t="s">
        <v>177</v>
      </c>
      <c r="C15" t="s">
        <v>461</v>
      </c>
      <c r="D15">
        <v>6000</v>
      </c>
      <c r="E15" t="s">
        <v>8</v>
      </c>
      <c r="F15" t="s">
        <v>9</v>
      </c>
    </row>
    <row r="16" spans="1:6" x14ac:dyDescent="0.25">
      <c r="A16">
        <v>15</v>
      </c>
      <c r="B16" t="s">
        <v>372</v>
      </c>
      <c r="C16" t="s">
        <v>462</v>
      </c>
      <c r="D16">
        <v>88800</v>
      </c>
      <c r="E16" t="s">
        <v>8</v>
      </c>
      <c r="F16" t="s">
        <v>9</v>
      </c>
    </row>
    <row r="17" spans="1:6" x14ac:dyDescent="0.25">
      <c r="A17">
        <v>16</v>
      </c>
      <c r="B17" t="s">
        <v>103</v>
      </c>
      <c r="C17" t="s">
        <v>463</v>
      </c>
      <c r="D17">
        <v>30900</v>
      </c>
      <c r="E17" t="s">
        <v>38</v>
      </c>
      <c r="F17" t="s">
        <v>20</v>
      </c>
    </row>
    <row r="18" spans="1:6" x14ac:dyDescent="0.25">
      <c r="A18">
        <v>17</v>
      </c>
      <c r="B18" t="s">
        <v>106</v>
      </c>
      <c r="C18" t="s">
        <v>464</v>
      </c>
      <c r="D18">
        <v>47600</v>
      </c>
      <c r="E18" t="s">
        <v>23</v>
      </c>
      <c r="F18" t="s">
        <v>20</v>
      </c>
    </row>
    <row r="19" spans="1:6" x14ac:dyDescent="0.25">
      <c r="A19">
        <v>18</v>
      </c>
      <c r="B19" t="s">
        <v>397</v>
      </c>
      <c r="C19" t="s">
        <v>465</v>
      </c>
      <c r="D19">
        <v>103900</v>
      </c>
      <c r="E19" t="s">
        <v>8</v>
      </c>
      <c r="F19" t="s">
        <v>9</v>
      </c>
    </row>
    <row r="20" spans="1:6" x14ac:dyDescent="0.25">
      <c r="A20">
        <v>19</v>
      </c>
      <c r="B20" t="s">
        <v>207</v>
      </c>
      <c r="C20" t="s">
        <v>466</v>
      </c>
      <c r="D20">
        <v>43100</v>
      </c>
      <c r="E20" t="s">
        <v>8</v>
      </c>
      <c r="F20" t="s">
        <v>9</v>
      </c>
    </row>
    <row r="21" spans="1:6" x14ac:dyDescent="0.25">
      <c r="A21">
        <v>20</v>
      </c>
      <c r="B21" t="s">
        <v>34</v>
      </c>
      <c r="C21" t="s">
        <v>467</v>
      </c>
      <c r="D21">
        <v>9500</v>
      </c>
      <c r="E21" t="s">
        <v>8</v>
      </c>
      <c r="F21" t="s">
        <v>9</v>
      </c>
    </row>
    <row r="22" spans="1:6" x14ac:dyDescent="0.25">
      <c r="A22">
        <v>21</v>
      </c>
      <c r="B22" t="s">
        <v>47</v>
      </c>
      <c r="C22" t="s">
        <v>468</v>
      </c>
      <c r="D22">
        <v>19200</v>
      </c>
      <c r="E22" t="s">
        <v>23</v>
      </c>
      <c r="F22" t="s">
        <v>9</v>
      </c>
    </row>
    <row r="23" spans="1:6" x14ac:dyDescent="0.25">
      <c r="A23">
        <v>22</v>
      </c>
      <c r="B23" t="s">
        <v>188</v>
      </c>
      <c r="C23" t="s">
        <v>469</v>
      </c>
      <c r="D23">
        <v>113200</v>
      </c>
      <c r="E23" t="s">
        <v>38</v>
      </c>
      <c r="F23" t="s">
        <v>20</v>
      </c>
    </row>
    <row r="24" spans="1:6" x14ac:dyDescent="0.25">
      <c r="A24">
        <v>23</v>
      </c>
      <c r="B24" t="s">
        <v>180</v>
      </c>
      <c r="C24" t="s">
        <v>470</v>
      </c>
      <c r="D24">
        <v>32900</v>
      </c>
      <c r="E24" t="s">
        <v>23</v>
      </c>
      <c r="F24" t="s">
        <v>9</v>
      </c>
    </row>
    <row r="25" spans="1:6" x14ac:dyDescent="0.25">
      <c r="A25">
        <v>24</v>
      </c>
      <c r="B25" t="s">
        <v>418</v>
      </c>
      <c r="C25" t="s">
        <v>471</v>
      </c>
      <c r="D25">
        <v>7300</v>
      </c>
      <c r="E25" t="s">
        <v>8</v>
      </c>
      <c r="F25" t="s">
        <v>9</v>
      </c>
    </row>
    <row r="26" spans="1:6" x14ac:dyDescent="0.25">
      <c r="A26">
        <v>25</v>
      </c>
      <c r="B26" t="s">
        <v>26</v>
      </c>
      <c r="C26" t="s">
        <v>460</v>
      </c>
      <c r="D26">
        <v>11300</v>
      </c>
      <c r="E26" t="s">
        <v>8</v>
      </c>
      <c r="F26" t="s">
        <v>9</v>
      </c>
    </row>
    <row r="27" spans="1:6" x14ac:dyDescent="0.25">
      <c r="A27">
        <v>26</v>
      </c>
      <c r="B27" t="s">
        <v>103</v>
      </c>
      <c r="C27" t="s">
        <v>461</v>
      </c>
      <c r="D27">
        <v>8200</v>
      </c>
      <c r="E27" t="s">
        <v>8</v>
      </c>
      <c r="F27" t="s">
        <v>9</v>
      </c>
    </row>
    <row r="28" spans="1:6" x14ac:dyDescent="0.25">
      <c r="A28">
        <v>27</v>
      </c>
      <c r="B28" t="s">
        <v>30</v>
      </c>
      <c r="C28" t="s">
        <v>462</v>
      </c>
      <c r="D28">
        <v>51500</v>
      </c>
      <c r="E28" t="s">
        <v>8</v>
      </c>
      <c r="F28" t="s">
        <v>9</v>
      </c>
    </row>
    <row r="29" spans="1:6" x14ac:dyDescent="0.25">
      <c r="A29">
        <v>28</v>
      </c>
      <c r="B29" t="s">
        <v>161</v>
      </c>
      <c r="C29" t="s">
        <v>463</v>
      </c>
      <c r="D29">
        <v>13400</v>
      </c>
      <c r="E29" t="s">
        <v>23</v>
      </c>
      <c r="F29" t="s">
        <v>9</v>
      </c>
    </row>
    <row r="30" spans="1:6" x14ac:dyDescent="0.25">
      <c r="A30">
        <v>29</v>
      </c>
      <c r="B30" t="s">
        <v>235</v>
      </c>
      <c r="C30" t="s">
        <v>464</v>
      </c>
      <c r="D30">
        <v>30000</v>
      </c>
      <c r="E30" t="s">
        <v>38</v>
      </c>
      <c r="F30" t="s">
        <v>20</v>
      </c>
    </row>
    <row r="31" spans="1:6" x14ac:dyDescent="0.25">
      <c r="A31">
        <v>30</v>
      </c>
      <c r="B31" t="s">
        <v>151</v>
      </c>
      <c r="C31" t="s">
        <v>465</v>
      </c>
      <c r="D31">
        <v>14200</v>
      </c>
      <c r="E31" t="s">
        <v>23</v>
      </c>
      <c r="F31" t="s">
        <v>9</v>
      </c>
    </row>
    <row r="32" spans="1:6" x14ac:dyDescent="0.25">
      <c r="A32">
        <v>31</v>
      </c>
      <c r="B32" t="s">
        <v>103</v>
      </c>
      <c r="C32" t="s">
        <v>466</v>
      </c>
      <c r="D32">
        <v>59000</v>
      </c>
      <c r="E32" t="s">
        <v>38</v>
      </c>
      <c r="F32" t="s">
        <v>20</v>
      </c>
    </row>
    <row r="33" spans="1:6" x14ac:dyDescent="0.25">
      <c r="A33">
        <v>32</v>
      </c>
      <c r="B33" t="s">
        <v>259</v>
      </c>
      <c r="C33" t="s">
        <v>467</v>
      </c>
      <c r="D33">
        <v>9900</v>
      </c>
      <c r="E33" t="s">
        <v>8</v>
      </c>
      <c r="F33" t="s">
        <v>9</v>
      </c>
    </row>
    <row r="34" spans="1:6" x14ac:dyDescent="0.25">
      <c r="A34">
        <v>33</v>
      </c>
      <c r="B34" t="s">
        <v>336</v>
      </c>
      <c r="C34" t="s">
        <v>468</v>
      </c>
      <c r="D34">
        <v>72100</v>
      </c>
      <c r="E34" t="s">
        <v>23</v>
      </c>
      <c r="F34" t="s">
        <v>9</v>
      </c>
    </row>
    <row r="35" spans="1:6" x14ac:dyDescent="0.25">
      <c r="A35">
        <v>34</v>
      </c>
      <c r="B35" t="s">
        <v>193</v>
      </c>
      <c r="C35" t="s">
        <v>469</v>
      </c>
      <c r="D35">
        <v>9000</v>
      </c>
      <c r="E35" t="s">
        <v>8</v>
      </c>
      <c r="F35" t="s">
        <v>9</v>
      </c>
    </row>
    <row r="36" spans="1:6" x14ac:dyDescent="0.25">
      <c r="A36">
        <v>35</v>
      </c>
      <c r="B36" t="s">
        <v>351</v>
      </c>
      <c r="C36" t="s">
        <v>470</v>
      </c>
      <c r="D36">
        <v>199100</v>
      </c>
      <c r="E36" t="s">
        <v>23</v>
      </c>
      <c r="F36" t="s">
        <v>9</v>
      </c>
    </row>
    <row r="37" spans="1:6" x14ac:dyDescent="0.25">
      <c r="A37">
        <v>36</v>
      </c>
      <c r="B37" t="s">
        <v>160</v>
      </c>
      <c r="C37" t="s">
        <v>471</v>
      </c>
      <c r="D37">
        <v>15500</v>
      </c>
      <c r="E37" t="s">
        <v>23</v>
      </c>
      <c r="F37" t="s">
        <v>9</v>
      </c>
    </row>
    <row r="38" spans="1:6" x14ac:dyDescent="0.25">
      <c r="A38">
        <v>37</v>
      </c>
      <c r="B38" t="s">
        <v>108</v>
      </c>
      <c r="C38" t="s">
        <v>460</v>
      </c>
      <c r="D38">
        <v>40300</v>
      </c>
      <c r="E38" t="s">
        <v>23</v>
      </c>
      <c r="F38" t="s">
        <v>9</v>
      </c>
    </row>
    <row r="39" spans="1:6" x14ac:dyDescent="0.25">
      <c r="A39">
        <v>38</v>
      </c>
      <c r="B39" t="s">
        <v>84</v>
      </c>
      <c r="C39" t="s">
        <v>461</v>
      </c>
      <c r="D39">
        <v>7800</v>
      </c>
      <c r="E39" t="s">
        <v>8</v>
      </c>
      <c r="F39" t="s">
        <v>9</v>
      </c>
    </row>
    <row r="40" spans="1:6" x14ac:dyDescent="0.25">
      <c r="A40">
        <v>39</v>
      </c>
      <c r="B40" t="s">
        <v>182</v>
      </c>
      <c r="C40" t="s">
        <v>462</v>
      </c>
      <c r="D40">
        <v>14900</v>
      </c>
      <c r="E40" t="s">
        <v>8</v>
      </c>
      <c r="F40" t="s">
        <v>9</v>
      </c>
    </row>
    <row r="41" spans="1:6" x14ac:dyDescent="0.25">
      <c r="A41">
        <v>40</v>
      </c>
      <c r="B41" t="s">
        <v>367</v>
      </c>
      <c r="C41" t="s">
        <v>463</v>
      </c>
      <c r="D41">
        <v>14100</v>
      </c>
      <c r="E41" t="s">
        <v>8</v>
      </c>
      <c r="F41" t="s">
        <v>9</v>
      </c>
    </row>
    <row r="42" spans="1:6" x14ac:dyDescent="0.25">
      <c r="A42">
        <v>41</v>
      </c>
      <c r="B42" t="s">
        <v>365</v>
      </c>
      <c r="C42" t="s">
        <v>464</v>
      </c>
      <c r="D42">
        <v>50200</v>
      </c>
      <c r="E42" t="s">
        <v>8</v>
      </c>
      <c r="F42" t="s">
        <v>9</v>
      </c>
    </row>
    <row r="43" spans="1:6" x14ac:dyDescent="0.25">
      <c r="A43">
        <v>42</v>
      </c>
      <c r="B43" t="s">
        <v>105</v>
      </c>
      <c r="C43" t="s">
        <v>465</v>
      </c>
      <c r="D43">
        <v>64800</v>
      </c>
      <c r="E43" t="s">
        <v>8</v>
      </c>
      <c r="F43" t="s">
        <v>9</v>
      </c>
    </row>
    <row r="44" spans="1:6" x14ac:dyDescent="0.25">
      <c r="A44">
        <v>43</v>
      </c>
      <c r="B44" t="s">
        <v>341</v>
      </c>
      <c r="C44" t="s">
        <v>466</v>
      </c>
      <c r="D44">
        <v>14500</v>
      </c>
      <c r="E44" t="s">
        <v>38</v>
      </c>
      <c r="F44" t="s">
        <v>20</v>
      </c>
    </row>
    <row r="45" spans="1:6" x14ac:dyDescent="0.25">
      <c r="A45">
        <v>44</v>
      </c>
      <c r="B45" t="s">
        <v>390</v>
      </c>
      <c r="C45" t="s">
        <v>467</v>
      </c>
      <c r="D45">
        <v>20500</v>
      </c>
      <c r="E45" t="s">
        <v>8</v>
      </c>
      <c r="F45" t="s">
        <v>9</v>
      </c>
    </row>
    <row r="46" spans="1:6" x14ac:dyDescent="0.25">
      <c r="A46">
        <v>45</v>
      </c>
      <c r="B46" t="s">
        <v>268</v>
      </c>
      <c r="C46" t="s">
        <v>468</v>
      </c>
      <c r="D46">
        <v>29200</v>
      </c>
      <c r="E46" t="s">
        <v>23</v>
      </c>
      <c r="F46" t="s">
        <v>9</v>
      </c>
    </row>
    <row r="47" spans="1:6" x14ac:dyDescent="0.25">
      <c r="A47">
        <v>46</v>
      </c>
      <c r="B47" t="s">
        <v>269</v>
      </c>
      <c r="C47" t="s">
        <v>469</v>
      </c>
      <c r="D47">
        <v>43900</v>
      </c>
      <c r="E47" t="s">
        <v>8</v>
      </c>
      <c r="F47" t="s">
        <v>9</v>
      </c>
    </row>
    <row r="48" spans="1:6" x14ac:dyDescent="0.25">
      <c r="A48">
        <v>47</v>
      </c>
      <c r="B48" t="s">
        <v>132</v>
      </c>
      <c r="C48" t="s">
        <v>470</v>
      </c>
      <c r="D48">
        <v>42700</v>
      </c>
      <c r="E48" t="s">
        <v>8</v>
      </c>
      <c r="F48" t="s">
        <v>9</v>
      </c>
    </row>
    <row r="49" spans="1:6" x14ac:dyDescent="0.25">
      <c r="A49">
        <v>48</v>
      </c>
      <c r="B49" t="s">
        <v>322</v>
      </c>
      <c r="C49" t="s">
        <v>471</v>
      </c>
      <c r="D49">
        <v>12000</v>
      </c>
      <c r="E49" t="s">
        <v>8</v>
      </c>
      <c r="F49" t="s">
        <v>9</v>
      </c>
    </row>
    <row r="50" spans="1:6" x14ac:dyDescent="0.25">
      <c r="A50">
        <v>49</v>
      </c>
      <c r="B50" t="s">
        <v>434</v>
      </c>
      <c r="C50" t="s">
        <v>460</v>
      </c>
      <c r="D50">
        <v>12100</v>
      </c>
      <c r="E50" t="s">
        <v>8</v>
      </c>
      <c r="F50" t="s">
        <v>9</v>
      </c>
    </row>
    <row r="51" spans="1:6" x14ac:dyDescent="0.25">
      <c r="A51">
        <v>50</v>
      </c>
      <c r="B51" t="s">
        <v>130</v>
      </c>
      <c r="C51" t="s">
        <v>461</v>
      </c>
      <c r="D51">
        <v>9100</v>
      </c>
      <c r="E51" t="s">
        <v>8</v>
      </c>
      <c r="F51" t="s">
        <v>9</v>
      </c>
    </row>
    <row r="52" spans="1:6" x14ac:dyDescent="0.25">
      <c r="A52">
        <v>51</v>
      </c>
      <c r="B52" t="s">
        <v>370</v>
      </c>
      <c r="C52" t="s">
        <v>462</v>
      </c>
      <c r="D52">
        <v>10800</v>
      </c>
      <c r="E52" t="s">
        <v>8</v>
      </c>
      <c r="F52" t="s">
        <v>9</v>
      </c>
    </row>
    <row r="53" spans="1:6" x14ac:dyDescent="0.25">
      <c r="A53">
        <v>52</v>
      </c>
      <c r="B53" t="s">
        <v>139</v>
      </c>
      <c r="C53" t="s">
        <v>463</v>
      </c>
      <c r="D53">
        <v>19100</v>
      </c>
      <c r="E53" t="s">
        <v>8</v>
      </c>
      <c r="F53" t="s">
        <v>9</v>
      </c>
    </row>
    <row r="54" spans="1:6" x14ac:dyDescent="0.25">
      <c r="A54">
        <v>53</v>
      </c>
      <c r="B54" t="s">
        <v>326</v>
      </c>
      <c r="C54" t="s">
        <v>464</v>
      </c>
      <c r="D54">
        <v>20800</v>
      </c>
      <c r="E54" t="s">
        <v>8</v>
      </c>
      <c r="F54" t="s">
        <v>9</v>
      </c>
    </row>
    <row r="55" spans="1:6" x14ac:dyDescent="0.25">
      <c r="A55">
        <v>54</v>
      </c>
      <c r="B55" t="s">
        <v>73</v>
      </c>
      <c r="C55" t="s">
        <v>465</v>
      </c>
      <c r="D55">
        <v>116000</v>
      </c>
      <c r="E55" t="s">
        <v>8</v>
      </c>
      <c r="F55" t="s">
        <v>9</v>
      </c>
    </row>
    <row r="56" spans="1:6" x14ac:dyDescent="0.25">
      <c r="A56">
        <v>55</v>
      </c>
      <c r="B56" t="s">
        <v>195</v>
      </c>
      <c r="C56" t="s">
        <v>466</v>
      </c>
      <c r="D56">
        <v>20400</v>
      </c>
      <c r="E56" t="s">
        <v>8</v>
      </c>
      <c r="F56" t="s">
        <v>9</v>
      </c>
    </row>
    <row r="57" spans="1:6" x14ac:dyDescent="0.25">
      <c r="A57">
        <v>56</v>
      </c>
      <c r="B57" t="s">
        <v>147</v>
      </c>
      <c r="C57" t="s">
        <v>467</v>
      </c>
      <c r="D57">
        <v>11400</v>
      </c>
      <c r="E57" t="s">
        <v>8</v>
      </c>
      <c r="F57" t="s">
        <v>9</v>
      </c>
    </row>
    <row r="58" spans="1:6" x14ac:dyDescent="0.25">
      <c r="A58">
        <v>57</v>
      </c>
      <c r="B58" t="s">
        <v>160</v>
      </c>
      <c r="C58" t="s">
        <v>468</v>
      </c>
      <c r="D58">
        <v>8800</v>
      </c>
      <c r="E58" t="s">
        <v>23</v>
      </c>
      <c r="F58" t="s">
        <v>9</v>
      </c>
    </row>
    <row r="59" spans="1:6" x14ac:dyDescent="0.25">
      <c r="A59">
        <v>58</v>
      </c>
      <c r="B59" t="s">
        <v>226</v>
      </c>
      <c r="C59" t="s">
        <v>469</v>
      </c>
      <c r="D59">
        <v>67500</v>
      </c>
      <c r="E59" t="s">
        <v>8</v>
      </c>
      <c r="F59" t="s">
        <v>9</v>
      </c>
    </row>
    <row r="60" spans="1:6" x14ac:dyDescent="0.25">
      <c r="A60">
        <v>59</v>
      </c>
      <c r="B60" t="s">
        <v>290</v>
      </c>
      <c r="C60" t="s">
        <v>470</v>
      </c>
      <c r="D60">
        <v>18200</v>
      </c>
      <c r="E60" t="s">
        <v>8</v>
      </c>
      <c r="F60" t="s">
        <v>9</v>
      </c>
    </row>
    <row r="61" spans="1:6" x14ac:dyDescent="0.25">
      <c r="A61">
        <v>60</v>
      </c>
      <c r="B61" t="s">
        <v>231</v>
      </c>
      <c r="C61" t="s">
        <v>471</v>
      </c>
      <c r="D61">
        <v>15100</v>
      </c>
      <c r="E61" t="s">
        <v>8</v>
      </c>
      <c r="F61" t="s">
        <v>9</v>
      </c>
    </row>
    <row r="62" spans="1:6" x14ac:dyDescent="0.25">
      <c r="A62">
        <v>61</v>
      </c>
      <c r="B62" t="s">
        <v>199</v>
      </c>
      <c r="C62" t="s">
        <v>460</v>
      </c>
      <c r="D62">
        <v>17300</v>
      </c>
      <c r="E62" t="s">
        <v>38</v>
      </c>
      <c r="F62" t="s">
        <v>20</v>
      </c>
    </row>
    <row r="63" spans="1:6" x14ac:dyDescent="0.25">
      <c r="A63">
        <v>62</v>
      </c>
      <c r="B63" t="s">
        <v>179</v>
      </c>
      <c r="C63" t="s">
        <v>461</v>
      </c>
      <c r="D63">
        <v>15300</v>
      </c>
      <c r="E63" t="s">
        <v>8</v>
      </c>
      <c r="F63" t="s">
        <v>9</v>
      </c>
    </row>
    <row r="64" spans="1:6" x14ac:dyDescent="0.25">
      <c r="A64">
        <v>63</v>
      </c>
      <c r="B64" t="s">
        <v>102</v>
      </c>
      <c r="C64" t="s">
        <v>462</v>
      </c>
      <c r="D64">
        <v>33600</v>
      </c>
      <c r="E64" t="s">
        <v>23</v>
      </c>
      <c r="F64" t="s">
        <v>9</v>
      </c>
    </row>
    <row r="65" spans="1:6" x14ac:dyDescent="0.25">
      <c r="A65">
        <v>64</v>
      </c>
      <c r="B65" t="s">
        <v>213</v>
      </c>
      <c r="C65" t="s">
        <v>463</v>
      </c>
      <c r="D65">
        <v>27300</v>
      </c>
      <c r="E65" t="s">
        <v>8</v>
      </c>
      <c r="F65" t="s">
        <v>9</v>
      </c>
    </row>
    <row r="66" spans="1:6" x14ac:dyDescent="0.25">
      <c r="A66">
        <v>65</v>
      </c>
      <c r="B66" t="s">
        <v>100</v>
      </c>
      <c r="C66" t="s">
        <v>464</v>
      </c>
      <c r="D66">
        <v>44900</v>
      </c>
      <c r="E66" t="s">
        <v>8</v>
      </c>
      <c r="F66" t="s">
        <v>9</v>
      </c>
    </row>
    <row r="67" spans="1:6" x14ac:dyDescent="0.25">
      <c r="A67">
        <v>66</v>
      </c>
      <c r="B67" t="s">
        <v>134</v>
      </c>
      <c r="C67" t="s">
        <v>465</v>
      </c>
      <c r="D67">
        <v>5000</v>
      </c>
      <c r="E67" t="s">
        <v>8</v>
      </c>
      <c r="F67" t="s">
        <v>9</v>
      </c>
    </row>
    <row r="68" spans="1:6" x14ac:dyDescent="0.25">
      <c r="A68">
        <v>67</v>
      </c>
      <c r="B68" t="s">
        <v>202</v>
      </c>
      <c r="C68" t="s">
        <v>466</v>
      </c>
      <c r="D68">
        <v>61000</v>
      </c>
      <c r="E68" t="s">
        <v>8</v>
      </c>
      <c r="F68" t="s">
        <v>9</v>
      </c>
    </row>
    <row r="69" spans="1:6" x14ac:dyDescent="0.25">
      <c r="A69">
        <v>68</v>
      </c>
      <c r="B69" t="s">
        <v>81</v>
      </c>
      <c r="C69" t="s">
        <v>467</v>
      </c>
      <c r="D69">
        <v>9000</v>
      </c>
      <c r="E69" t="s">
        <v>8</v>
      </c>
      <c r="F69" t="s">
        <v>9</v>
      </c>
    </row>
    <row r="70" spans="1:6" x14ac:dyDescent="0.25">
      <c r="A70">
        <v>69</v>
      </c>
      <c r="B70" t="s">
        <v>320</v>
      </c>
      <c r="C70" t="s">
        <v>468</v>
      </c>
      <c r="D70">
        <v>47600</v>
      </c>
      <c r="E70" t="s">
        <v>8</v>
      </c>
      <c r="F70" t="s">
        <v>9</v>
      </c>
    </row>
    <row r="71" spans="1:6" x14ac:dyDescent="0.25">
      <c r="A71">
        <v>70</v>
      </c>
      <c r="B71" t="s">
        <v>272</v>
      </c>
      <c r="C71" t="s">
        <v>469</v>
      </c>
      <c r="D71">
        <v>96500</v>
      </c>
      <c r="E71" t="s">
        <v>8</v>
      </c>
      <c r="F71" t="s">
        <v>9</v>
      </c>
    </row>
    <row r="72" spans="1:6" x14ac:dyDescent="0.25">
      <c r="A72">
        <v>71</v>
      </c>
      <c r="B72" t="s">
        <v>239</v>
      </c>
      <c r="C72" t="s">
        <v>470</v>
      </c>
      <c r="D72">
        <v>16200</v>
      </c>
      <c r="E72" t="s">
        <v>8</v>
      </c>
      <c r="F72" t="s">
        <v>9</v>
      </c>
    </row>
    <row r="73" spans="1:6" x14ac:dyDescent="0.25">
      <c r="A73">
        <v>72</v>
      </c>
      <c r="B73" t="s">
        <v>268</v>
      </c>
      <c r="C73" t="s">
        <v>471</v>
      </c>
      <c r="D73">
        <v>23000</v>
      </c>
      <c r="E73" t="s">
        <v>8</v>
      </c>
      <c r="F73" t="s">
        <v>9</v>
      </c>
    </row>
    <row r="74" spans="1:6" x14ac:dyDescent="0.25">
      <c r="A74">
        <v>73</v>
      </c>
      <c r="B74" t="s">
        <v>213</v>
      </c>
      <c r="C74" t="s">
        <v>460</v>
      </c>
      <c r="D74">
        <v>10600</v>
      </c>
      <c r="E74" t="s">
        <v>8</v>
      </c>
      <c r="F74" t="s">
        <v>9</v>
      </c>
    </row>
    <row r="75" spans="1:6" x14ac:dyDescent="0.25">
      <c r="A75">
        <v>74</v>
      </c>
      <c r="B75" t="s">
        <v>367</v>
      </c>
      <c r="C75" t="s">
        <v>461</v>
      </c>
      <c r="D75">
        <v>24600</v>
      </c>
      <c r="E75" t="s">
        <v>8</v>
      </c>
      <c r="F75" t="s">
        <v>9</v>
      </c>
    </row>
    <row r="76" spans="1:6" x14ac:dyDescent="0.25">
      <c r="A76">
        <v>75</v>
      </c>
      <c r="B76" t="s">
        <v>97</v>
      </c>
      <c r="C76" t="s">
        <v>462</v>
      </c>
      <c r="D76">
        <v>30800</v>
      </c>
      <c r="E76" t="s">
        <v>8</v>
      </c>
      <c r="F76" t="s">
        <v>20</v>
      </c>
    </row>
    <row r="77" spans="1:6" x14ac:dyDescent="0.25">
      <c r="A77">
        <v>76</v>
      </c>
      <c r="B77" t="s">
        <v>149</v>
      </c>
      <c r="C77" t="s">
        <v>463</v>
      </c>
      <c r="D77">
        <v>12100</v>
      </c>
      <c r="E77" t="s">
        <v>8</v>
      </c>
      <c r="F77" t="s">
        <v>9</v>
      </c>
    </row>
    <row r="78" spans="1:6" x14ac:dyDescent="0.25">
      <c r="A78">
        <v>77</v>
      </c>
      <c r="B78" t="s">
        <v>404</v>
      </c>
      <c r="C78" t="s">
        <v>464</v>
      </c>
      <c r="D78">
        <v>78300</v>
      </c>
      <c r="E78" t="s">
        <v>38</v>
      </c>
      <c r="F78" t="s">
        <v>20</v>
      </c>
    </row>
    <row r="79" spans="1:6" x14ac:dyDescent="0.25">
      <c r="A79">
        <v>78</v>
      </c>
      <c r="B79" t="s">
        <v>195</v>
      </c>
      <c r="C79" t="s">
        <v>465</v>
      </c>
      <c r="D79">
        <v>85000</v>
      </c>
      <c r="E79" t="s">
        <v>23</v>
      </c>
      <c r="F79" t="s">
        <v>20</v>
      </c>
    </row>
    <row r="80" spans="1:6" x14ac:dyDescent="0.25">
      <c r="A80">
        <v>79</v>
      </c>
      <c r="B80" t="s">
        <v>447</v>
      </c>
      <c r="C80" t="s">
        <v>466</v>
      </c>
      <c r="D80">
        <v>81800</v>
      </c>
      <c r="E80" t="s">
        <v>38</v>
      </c>
      <c r="F80" t="s">
        <v>20</v>
      </c>
    </row>
    <row r="81" spans="1:6" x14ac:dyDescent="0.25">
      <c r="A81">
        <v>80</v>
      </c>
      <c r="B81" t="s">
        <v>50</v>
      </c>
      <c r="C81" t="s">
        <v>467</v>
      </c>
      <c r="D81">
        <v>9700</v>
      </c>
      <c r="E81" t="s">
        <v>8</v>
      </c>
      <c r="F81" t="s">
        <v>9</v>
      </c>
    </row>
    <row r="82" spans="1:6" x14ac:dyDescent="0.25">
      <c r="A82">
        <v>81</v>
      </c>
      <c r="B82" t="s">
        <v>42</v>
      </c>
      <c r="C82" t="s">
        <v>468</v>
      </c>
      <c r="D82">
        <v>7500</v>
      </c>
      <c r="E82" t="s">
        <v>8</v>
      </c>
      <c r="F82" t="s">
        <v>9</v>
      </c>
    </row>
    <row r="83" spans="1:6" x14ac:dyDescent="0.25">
      <c r="A83">
        <v>82</v>
      </c>
      <c r="B83" t="s">
        <v>95</v>
      </c>
      <c r="C83" t="s">
        <v>469</v>
      </c>
      <c r="D83">
        <v>44700</v>
      </c>
      <c r="E83" t="s">
        <v>38</v>
      </c>
      <c r="F83" t="s">
        <v>20</v>
      </c>
    </row>
    <row r="84" spans="1:6" x14ac:dyDescent="0.25">
      <c r="A84">
        <v>83</v>
      </c>
      <c r="B84" t="s">
        <v>167</v>
      </c>
      <c r="C84" t="s">
        <v>470</v>
      </c>
      <c r="D84">
        <v>45100</v>
      </c>
      <c r="E84" t="s">
        <v>8</v>
      </c>
      <c r="F84" t="s">
        <v>9</v>
      </c>
    </row>
    <row r="85" spans="1:6" x14ac:dyDescent="0.25">
      <c r="A85">
        <v>84</v>
      </c>
      <c r="B85" t="s">
        <v>224</v>
      </c>
      <c r="C85" t="s">
        <v>471</v>
      </c>
      <c r="D85">
        <v>5000</v>
      </c>
      <c r="E85" t="s">
        <v>8</v>
      </c>
      <c r="F85" t="s">
        <v>9</v>
      </c>
    </row>
    <row r="86" spans="1:6" x14ac:dyDescent="0.25">
      <c r="A86">
        <v>85</v>
      </c>
      <c r="B86" t="s">
        <v>272</v>
      </c>
      <c r="C86" t="s">
        <v>460</v>
      </c>
      <c r="D86">
        <v>46600</v>
      </c>
      <c r="E86" t="s">
        <v>8</v>
      </c>
      <c r="F86" t="s">
        <v>20</v>
      </c>
    </row>
    <row r="87" spans="1:6" x14ac:dyDescent="0.25">
      <c r="A87">
        <v>86</v>
      </c>
      <c r="B87" t="s">
        <v>344</v>
      </c>
      <c r="C87" t="s">
        <v>461</v>
      </c>
      <c r="D87">
        <v>22400</v>
      </c>
      <c r="E87" t="s">
        <v>8</v>
      </c>
      <c r="F87" t="s">
        <v>9</v>
      </c>
    </row>
    <row r="88" spans="1:6" x14ac:dyDescent="0.25">
      <c r="A88">
        <v>87</v>
      </c>
      <c r="B88" t="s">
        <v>117</v>
      </c>
      <c r="C88" t="s">
        <v>462</v>
      </c>
      <c r="D88">
        <v>56700</v>
      </c>
      <c r="E88" t="s">
        <v>8</v>
      </c>
      <c r="F88" t="s">
        <v>9</v>
      </c>
    </row>
    <row r="89" spans="1:6" x14ac:dyDescent="0.25">
      <c r="A89">
        <v>88</v>
      </c>
      <c r="B89" t="s">
        <v>232</v>
      </c>
      <c r="C89" t="s">
        <v>463</v>
      </c>
      <c r="D89">
        <v>87200</v>
      </c>
      <c r="E89" t="s">
        <v>8</v>
      </c>
      <c r="F89" t="s">
        <v>9</v>
      </c>
    </row>
    <row r="90" spans="1:6" x14ac:dyDescent="0.25">
      <c r="A90">
        <v>89</v>
      </c>
      <c r="B90" t="s">
        <v>210</v>
      </c>
      <c r="C90" t="s">
        <v>464</v>
      </c>
      <c r="D90">
        <v>19800</v>
      </c>
      <c r="E90" t="s">
        <v>8</v>
      </c>
      <c r="F90" t="s">
        <v>9</v>
      </c>
    </row>
    <row r="91" spans="1:6" x14ac:dyDescent="0.25">
      <c r="A91">
        <v>90</v>
      </c>
      <c r="B91" t="s">
        <v>186</v>
      </c>
      <c r="C91" t="s">
        <v>465</v>
      </c>
      <c r="D91">
        <v>135400</v>
      </c>
      <c r="E91" t="s">
        <v>8</v>
      </c>
      <c r="F91" t="s">
        <v>9</v>
      </c>
    </row>
    <row r="92" spans="1:6" x14ac:dyDescent="0.25">
      <c r="A92">
        <v>91</v>
      </c>
      <c r="B92" t="s">
        <v>201</v>
      </c>
      <c r="C92" t="s">
        <v>466</v>
      </c>
      <c r="D92">
        <v>23300</v>
      </c>
      <c r="E92" t="s">
        <v>8</v>
      </c>
      <c r="F92" t="s">
        <v>9</v>
      </c>
    </row>
    <row r="93" spans="1:6" x14ac:dyDescent="0.25">
      <c r="A93">
        <v>92</v>
      </c>
      <c r="B93" t="s">
        <v>346</v>
      </c>
      <c r="C93" t="s">
        <v>467</v>
      </c>
      <c r="D93">
        <v>108700</v>
      </c>
      <c r="E93" t="s">
        <v>8</v>
      </c>
      <c r="F93" t="s">
        <v>9</v>
      </c>
    </row>
    <row r="94" spans="1:6" x14ac:dyDescent="0.25">
      <c r="A94">
        <v>93</v>
      </c>
      <c r="B94" t="s">
        <v>399</v>
      </c>
      <c r="C94" t="s">
        <v>468</v>
      </c>
      <c r="D94">
        <v>12700</v>
      </c>
      <c r="E94" t="s">
        <v>8</v>
      </c>
      <c r="F94" t="s">
        <v>9</v>
      </c>
    </row>
    <row r="95" spans="1:6" x14ac:dyDescent="0.25">
      <c r="A95">
        <v>94</v>
      </c>
      <c r="B95" t="s">
        <v>118</v>
      </c>
      <c r="C95" t="s">
        <v>469</v>
      </c>
      <c r="D95">
        <v>168600</v>
      </c>
      <c r="E95" t="s">
        <v>8</v>
      </c>
      <c r="F95" t="s">
        <v>9</v>
      </c>
    </row>
    <row r="96" spans="1:6" x14ac:dyDescent="0.25">
      <c r="A96">
        <v>95</v>
      </c>
      <c r="B96" t="s">
        <v>199</v>
      </c>
      <c r="C96" t="s">
        <v>470</v>
      </c>
      <c r="D96">
        <v>25600</v>
      </c>
      <c r="E96" t="s">
        <v>8</v>
      </c>
      <c r="F96" t="s">
        <v>9</v>
      </c>
    </row>
    <row r="97" spans="1:6" x14ac:dyDescent="0.25">
      <c r="A97">
        <v>96</v>
      </c>
      <c r="B97" t="s">
        <v>311</v>
      </c>
      <c r="C97" t="s">
        <v>471</v>
      </c>
      <c r="D97">
        <v>12800</v>
      </c>
      <c r="E97" t="s">
        <v>8</v>
      </c>
      <c r="F97" t="s">
        <v>20</v>
      </c>
    </row>
    <row r="98" spans="1:6" x14ac:dyDescent="0.25">
      <c r="A98">
        <v>97</v>
      </c>
      <c r="B98" t="s">
        <v>51</v>
      </c>
      <c r="C98" t="s">
        <v>460</v>
      </c>
      <c r="D98">
        <v>51100</v>
      </c>
      <c r="E98" t="s">
        <v>8</v>
      </c>
      <c r="F98" t="s">
        <v>9</v>
      </c>
    </row>
    <row r="99" spans="1:6" x14ac:dyDescent="0.25">
      <c r="A99">
        <v>98</v>
      </c>
      <c r="B99" t="s">
        <v>237</v>
      </c>
      <c r="C99" t="s">
        <v>461</v>
      </c>
      <c r="D99">
        <v>43300</v>
      </c>
      <c r="E99" t="s">
        <v>8</v>
      </c>
      <c r="F99" t="s">
        <v>9</v>
      </c>
    </row>
    <row r="100" spans="1:6" x14ac:dyDescent="0.25">
      <c r="A100">
        <v>99</v>
      </c>
      <c r="B100" t="s">
        <v>210</v>
      </c>
      <c r="C100" t="s">
        <v>462</v>
      </c>
      <c r="D100">
        <v>25000</v>
      </c>
      <c r="E100" t="s">
        <v>38</v>
      </c>
      <c r="F100" t="s">
        <v>9</v>
      </c>
    </row>
    <row r="101" spans="1:6" x14ac:dyDescent="0.25">
      <c r="A101">
        <v>100</v>
      </c>
      <c r="B101" t="s">
        <v>391</v>
      </c>
      <c r="C101" t="s">
        <v>463</v>
      </c>
      <c r="D101">
        <v>77600</v>
      </c>
      <c r="E101" t="s">
        <v>38</v>
      </c>
      <c r="F101" t="s">
        <v>20</v>
      </c>
    </row>
    <row r="102" spans="1:6" x14ac:dyDescent="0.25">
      <c r="A102">
        <v>101</v>
      </c>
      <c r="B102" t="s">
        <v>224</v>
      </c>
      <c r="C102" t="s">
        <v>464</v>
      </c>
      <c r="D102">
        <v>49500</v>
      </c>
      <c r="E102" t="s">
        <v>8</v>
      </c>
      <c r="F102" t="s">
        <v>9</v>
      </c>
    </row>
    <row r="103" spans="1:6" x14ac:dyDescent="0.25">
      <c r="A103">
        <v>102</v>
      </c>
      <c r="B103" t="s">
        <v>312</v>
      </c>
      <c r="C103" t="s">
        <v>465</v>
      </c>
      <c r="D103">
        <v>72800</v>
      </c>
      <c r="E103" t="s">
        <v>23</v>
      </c>
      <c r="F103" t="s">
        <v>9</v>
      </c>
    </row>
    <row r="104" spans="1:6" x14ac:dyDescent="0.25">
      <c r="A104">
        <v>103</v>
      </c>
      <c r="B104" t="s">
        <v>181</v>
      </c>
      <c r="C104" t="s">
        <v>466</v>
      </c>
      <c r="D104">
        <v>19200</v>
      </c>
      <c r="E104" t="s">
        <v>38</v>
      </c>
      <c r="F104" t="s">
        <v>20</v>
      </c>
    </row>
    <row r="105" spans="1:6" x14ac:dyDescent="0.25">
      <c r="A105">
        <v>104</v>
      </c>
      <c r="B105" t="s">
        <v>76</v>
      </c>
      <c r="C105" t="s">
        <v>467</v>
      </c>
      <c r="D105">
        <v>43300</v>
      </c>
      <c r="E105" t="s">
        <v>8</v>
      </c>
      <c r="F105" t="s">
        <v>9</v>
      </c>
    </row>
    <row r="106" spans="1:6" x14ac:dyDescent="0.25">
      <c r="A106">
        <v>105</v>
      </c>
      <c r="B106" t="s">
        <v>401</v>
      </c>
      <c r="C106" t="s">
        <v>468</v>
      </c>
      <c r="D106">
        <v>69000</v>
      </c>
      <c r="E106" t="s">
        <v>8</v>
      </c>
      <c r="F106" t="s">
        <v>9</v>
      </c>
    </row>
    <row r="107" spans="1:6" x14ac:dyDescent="0.25">
      <c r="A107">
        <v>106</v>
      </c>
      <c r="B107" t="s">
        <v>169</v>
      </c>
      <c r="C107" t="s">
        <v>469</v>
      </c>
      <c r="D107">
        <v>26400</v>
      </c>
      <c r="E107" t="s">
        <v>8</v>
      </c>
      <c r="F107" t="s">
        <v>9</v>
      </c>
    </row>
    <row r="108" spans="1:6" x14ac:dyDescent="0.25">
      <c r="A108">
        <v>107</v>
      </c>
      <c r="B108" t="s">
        <v>36</v>
      </c>
      <c r="C108" t="s">
        <v>470</v>
      </c>
      <c r="D108">
        <v>22100</v>
      </c>
      <c r="E108" t="s">
        <v>8</v>
      </c>
      <c r="F108" t="s">
        <v>9</v>
      </c>
    </row>
    <row r="109" spans="1:6" x14ac:dyDescent="0.25">
      <c r="A109">
        <v>108</v>
      </c>
      <c r="B109" t="s">
        <v>167</v>
      </c>
      <c r="C109" t="s">
        <v>471</v>
      </c>
      <c r="D109">
        <v>386800</v>
      </c>
      <c r="E109" t="s">
        <v>8</v>
      </c>
      <c r="F109" t="s">
        <v>9</v>
      </c>
    </row>
    <row r="110" spans="1:6" x14ac:dyDescent="0.25">
      <c r="A110">
        <v>109</v>
      </c>
      <c r="B110" t="s">
        <v>374</v>
      </c>
      <c r="C110" t="s">
        <v>460</v>
      </c>
      <c r="D110">
        <v>19100</v>
      </c>
      <c r="E110" t="s">
        <v>38</v>
      </c>
      <c r="F110" t="s">
        <v>20</v>
      </c>
    </row>
    <row r="111" spans="1:6" x14ac:dyDescent="0.25">
      <c r="A111">
        <v>110</v>
      </c>
      <c r="B111" t="s">
        <v>391</v>
      </c>
      <c r="C111" t="s">
        <v>461</v>
      </c>
      <c r="D111">
        <v>38300</v>
      </c>
      <c r="E111" t="s">
        <v>8</v>
      </c>
      <c r="F111" t="s">
        <v>9</v>
      </c>
    </row>
    <row r="112" spans="1:6" x14ac:dyDescent="0.25">
      <c r="A112">
        <v>111</v>
      </c>
      <c r="B112" t="s">
        <v>390</v>
      </c>
      <c r="C112" t="s">
        <v>462</v>
      </c>
      <c r="D112">
        <v>94900</v>
      </c>
      <c r="E112" t="s">
        <v>8</v>
      </c>
      <c r="F112" t="s">
        <v>9</v>
      </c>
    </row>
    <row r="113" spans="1:6" x14ac:dyDescent="0.25">
      <c r="A113">
        <v>112</v>
      </c>
      <c r="B113" t="s">
        <v>216</v>
      </c>
      <c r="C113" t="s">
        <v>467</v>
      </c>
      <c r="D113">
        <v>0</v>
      </c>
      <c r="E113" t="s">
        <v>8</v>
      </c>
      <c r="F113" t="s">
        <v>9</v>
      </c>
    </row>
    <row r="114" spans="1:6" x14ac:dyDescent="0.25">
      <c r="A114">
        <v>113</v>
      </c>
      <c r="B114" t="s">
        <v>126</v>
      </c>
      <c r="C114" t="s">
        <v>464</v>
      </c>
      <c r="D114">
        <v>71000</v>
      </c>
      <c r="E114" t="s">
        <v>8</v>
      </c>
      <c r="F114" t="s">
        <v>9</v>
      </c>
    </row>
    <row r="115" spans="1:6" x14ac:dyDescent="0.25">
      <c r="A115">
        <v>114</v>
      </c>
      <c r="B115" t="s">
        <v>195</v>
      </c>
      <c r="C115" t="s">
        <v>465</v>
      </c>
      <c r="D115">
        <v>53400</v>
      </c>
      <c r="E115" t="s">
        <v>8</v>
      </c>
      <c r="F115" t="s">
        <v>9</v>
      </c>
    </row>
    <row r="116" spans="1:6" x14ac:dyDescent="0.25">
      <c r="A116">
        <v>115</v>
      </c>
      <c r="B116" t="s">
        <v>331</v>
      </c>
      <c r="C116" t="s">
        <v>466</v>
      </c>
      <c r="D116">
        <v>17800</v>
      </c>
      <c r="E116" t="s">
        <v>8</v>
      </c>
      <c r="F116" t="s">
        <v>9</v>
      </c>
    </row>
    <row r="117" spans="1:6" x14ac:dyDescent="0.25">
      <c r="A117">
        <v>116</v>
      </c>
      <c r="B117" t="s">
        <v>281</v>
      </c>
      <c r="C117" t="s">
        <v>467</v>
      </c>
      <c r="D117">
        <v>130000</v>
      </c>
      <c r="E117" t="s">
        <v>8</v>
      </c>
      <c r="F117" t="s">
        <v>9</v>
      </c>
    </row>
    <row r="118" spans="1:6" x14ac:dyDescent="0.25">
      <c r="A118">
        <v>117</v>
      </c>
      <c r="B118" t="s">
        <v>120</v>
      </c>
      <c r="C118" t="s">
        <v>468</v>
      </c>
      <c r="D118">
        <v>82500</v>
      </c>
      <c r="E118" t="s">
        <v>8</v>
      </c>
      <c r="F118" t="s">
        <v>9</v>
      </c>
    </row>
    <row r="119" spans="1:6" x14ac:dyDescent="0.25">
      <c r="A119">
        <v>118</v>
      </c>
      <c r="B119" t="s">
        <v>189</v>
      </c>
      <c r="C119" t="s">
        <v>469</v>
      </c>
      <c r="D119">
        <v>18700</v>
      </c>
      <c r="E119" t="s">
        <v>8</v>
      </c>
      <c r="F119" t="s">
        <v>9</v>
      </c>
    </row>
    <row r="120" spans="1:6" x14ac:dyDescent="0.25">
      <c r="A120">
        <v>119</v>
      </c>
      <c r="B120" t="s">
        <v>10</v>
      </c>
      <c r="C120" t="s">
        <v>470</v>
      </c>
      <c r="D120">
        <v>63100</v>
      </c>
      <c r="E120" t="s">
        <v>8</v>
      </c>
      <c r="F120" t="s">
        <v>9</v>
      </c>
    </row>
    <row r="121" spans="1:6" x14ac:dyDescent="0.25">
      <c r="A121">
        <v>120</v>
      </c>
      <c r="B121" t="s">
        <v>321</v>
      </c>
      <c r="C121" t="s">
        <v>471</v>
      </c>
      <c r="D121">
        <v>5300</v>
      </c>
      <c r="E121" t="s">
        <v>38</v>
      </c>
      <c r="F121" t="s">
        <v>20</v>
      </c>
    </row>
    <row r="122" spans="1:6" x14ac:dyDescent="0.25">
      <c r="A122">
        <v>121</v>
      </c>
      <c r="B122" t="s">
        <v>204</v>
      </c>
      <c r="C122" t="s">
        <v>460</v>
      </c>
      <c r="D122">
        <v>172900</v>
      </c>
      <c r="E122" t="s">
        <v>8</v>
      </c>
      <c r="F122" t="s">
        <v>20</v>
      </c>
    </row>
    <row r="123" spans="1:6" x14ac:dyDescent="0.25">
      <c r="A123">
        <v>122</v>
      </c>
      <c r="B123" t="s">
        <v>270</v>
      </c>
      <c r="C123" t="s">
        <v>461</v>
      </c>
      <c r="D123">
        <v>45500</v>
      </c>
      <c r="E123" t="s">
        <v>8</v>
      </c>
      <c r="F123" t="s">
        <v>9</v>
      </c>
    </row>
    <row r="124" spans="1:6" x14ac:dyDescent="0.25">
      <c r="A124">
        <v>123</v>
      </c>
      <c r="B124" t="s">
        <v>323</v>
      </c>
      <c r="C124" t="s">
        <v>462</v>
      </c>
      <c r="D124">
        <v>38900</v>
      </c>
      <c r="E124" t="s">
        <v>8</v>
      </c>
      <c r="F124" t="s">
        <v>9</v>
      </c>
    </row>
    <row r="125" spans="1:6" x14ac:dyDescent="0.25">
      <c r="A125">
        <v>124</v>
      </c>
      <c r="B125" t="s">
        <v>116</v>
      </c>
      <c r="C125" t="s">
        <v>463</v>
      </c>
      <c r="D125">
        <v>108500</v>
      </c>
      <c r="E125" t="s">
        <v>8</v>
      </c>
      <c r="F125" t="s">
        <v>9</v>
      </c>
    </row>
    <row r="126" spans="1:6" x14ac:dyDescent="0.25">
      <c r="A126">
        <v>125</v>
      </c>
      <c r="B126" t="s">
        <v>155</v>
      </c>
      <c r="C126" t="s">
        <v>464</v>
      </c>
      <c r="D126">
        <v>42700</v>
      </c>
      <c r="E126" t="s">
        <v>8</v>
      </c>
      <c r="F126" t="s">
        <v>20</v>
      </c>
    </row>
    <row r="127" spans="1:6" x14ac:dyDescent="0.25">
      <c r="A127">
        <v>126</v>
      </c>
      <c r="B127" t="s">
        <v>105</v>
      </c>
      <c r="C127" t="s">
        <v>465</v>
      </c>
      <c r="D127">
        <v>55500</v>
      </c>
      <c r="E127" t="s">
        <v>23</v>
      </c>
      <c r="F127" t="s">
        <v>9</v>
      </c>
    </row>
    <row r="128" spans="1:6" x14ac:dyDescent="0.25">
      <c r="A128">
        <v>127</v>
      </c>
      <c r="B128" t="s">
        <v>257</v>
      </c>
      <c r="C128" t="s">
        <v>466</v>
      </c>
      <c r="D128">
        <v>5000</v>
      </c>
      <c r="E128" t="s">
        <v>8</v>
      </c>
      <c r="F128" t="s">
        <v>9</v>
      </c>
    </row>
    <row r="129" spans="1:6" x14ac:dyDescent="0.25">
      <c r="A129">
        <v>128</v>
      </c>
      <c r="B129" t="s">
        <v>389</v>
      </c>
      <c r="C129" t="s">
        <v>467</v>
      </c>
      <c r="D129">
        <v>500000</v>
      </c>
      <c r="E129" t="s">
        <v>23</v>
      </c>
      <c r="F129" t="s">
        <v>9</v>
      </c>
    </row>
    <row r="130" spans="1:6" x14ac:dyDescent="0.25">
      <c r="A130">
        <v>129</v>
      </c>
      <c r="B130" t="s">
        <v>195</v>
      </c>
      <c r="C130" t="s">
        <v>468</v>
      </c>
      <c r="D130">
        <v>55000</v>
      </c>
      <c r="E130" t="s">
        <v>8</v>
      </c>
      <c r="F130" t="s">
        <v>9</v>
      </c>
    </row>
    <row r="131" spans="1:6" x14ac:dyDescent="0.25">
      <c r="A131">
        <v>130</v>
      </c>
      <c r="B131" t="s">
        <v>359</v>
      </c>
      <c r="C131" t="s">
        <v>469</v>
      </c>
      <c r="D131">
        <v>51300</v>
      </c>
      <c r="E131" t="s">
        <v>8</v>
      </c>
      <c r="F131" t="s">
        <v>9</v>
      </c>
    </row>
    <row r="132" spans="1:6" x14ac:dyDescent="0.25">
      <c r="A132">
        <v>131</v>
      </c>
      <c r="B132" t="s">
        <v>98</v>
      </c>
      <c r="C132" t="s">
        <v>470</v>
      </c>
      <c r="D132">
        <v>36500</v>
      </c>
      <c r="E132" t="s">
        <v>8</v>
      </c>
      <c r="F132" t="s">
        <v>9</v>
      </c>
    </row>
    <row r="133" spans="1:6" x14ac:dyDescent="0.25">
      <c r="A133">
        <v>132</v>
      </c>
      <c r="B133" t="s">
        <v>363</v>
      </c>
      <c r="C133" t="s">
        <v>463</v>
      </c>
      <c r="D133">
        <v>420000</v>
      </c>
      <c r="E133" t="s">
        <v>8</v>
      </c>
      <c r="F133" t="s">
        <v>9</v>
      </c>
    </row>
    <row r="134" spans="1:6" x14ac:dyDescent="0.25">
      <c r="A134">
        <v>133</v>
      </c>
      <c r="B134" t="s">
        <v>249</v>
      </c>
      <c r="C134" t="s">
        <v>460</v>
      </c>
      <c r="D134">
        <v>59300</v>
      </c>
      <c r="E134" t="s">
        <v>8</v>
      </c>
      <c r="F134" t="s">
        <v>9</v>
      </c>
    </row>
    <row r="135" spans="1:6" x14ac:dyDescent="0.25">
      <c r="A135">
        <v>134</v>
      </c>
      <c r="B135" t="s">
        <v>158</v>
      </c>
      <c r="C135" t="s">
        <v>461</v>
      </c>
      <c r="D135">
        <v>66600</v>
      </c>
      <c r="E135" t="s">
        <v>23</v>
      </c>
      <c r="F135" t="s">
        <v>9</v>
      </c>
    </row>
    <row r="136" spans="1:6" x14ac:dyDescent="0.25">
      <c r="A136">
        <v>135</v>
      </c>
      <c r="B136" t="s">
        <v>250</v>
      </c>
      <c r="C136" t="s">
        <v>462</v>
      </c>
      <c r="D136">
        <v>156200</v>
      </c>
      <c r="E136" t="s">
        <v>8</v>
      </c>
      <c r="F136" t="s">
        <v>9</v>
      </c>
    </row>
    <row r="137" spans="1:6" x14ac:dyDescent="0.25">
      <c r="A137">
        <v>136</v>
      </c>
      <c r="B137" t="s">
        <v>340</v>
      </c>
      <c r="C137" t="s">
        <v>463</v>
      </c>
      <c r="D137">
        <v>25300</v>
      </c>
      <c r="E137" t="s">
        <v>8</v>
      </c>
      <c r="F137" t="s">
        <v>9</v>
      </c>
    </row>
    <row r="138" spans="1:6" x14ac:dyDescent="0.25">
      <c r="A138">
        <v>137</v>
      </c>
      <c r="B138" t="s">
        <v>343</v>
      </c>
      <c r="C138" t="s">
        <v>464</v>
      </c>
      <c r="D138">
        <v>78300</v>
      </c>
      <c r="E138" t="s">
        <v>8</v>
      </c>
      <c r="F138" t="s">
        <v>9</v>
      </c>
    </row>
    <row r="139" spans="1:6" x14ac:dyDescent="0.25">
      <c r="A139">
        <v>138</v>
      </c>
      <c r="B139" t="s">
        <v>210</v>
      </c>
      <c r="C139" t="s">
        <v>465</v>
      </c>
      <c r="D139">
        <v>22800</v>
      </c>
      <c r="E139" t="s">
        <v>8</v>
      </c>
      <c r="F139" t="s">
        <v>9</v>
      </c>
    </row>
    <row r="140" spans="1:6" x14ac:dyDescent="0.25">
      <c r="A140">
        <v>139</v>
      </c>
      <c r="B140" t="s">
        <v>317</v>
      </c>
      <c r="C140" t="s">
        <v>466</v>
      </c>
      <c r="D140">
        <v>33600</v>
      </c>
      <c r="E140" t="s">
        <v>8</v>
      </c>
      <c r="F140" t="s">
        <v>9</v>
      </c>
    </row>
    <row r="141" spans="1:6" x14ac:dyDescent="0.25">
      <c r="A141">
        <v>140</v>
      </c>
      <c r="B141" t="s">
        <v>159</v>
      </c>
      <c r="C141" t="s">
        <v>467</v>
      </c>
      <c r="D141">
        <v>22800</v>
      </c>
      <c r="E141" t="s">
        <v>8</v>
      </c>
      <c r="F141" t="s">
        <v>9</v>
      </c>
    </row>
    <row r="142" spans="1:6" x14ac:dyDescent="0.25">
      <c r="A142">
        <v>141</v>
      </c>
      <c r="B142" t="s">
        <v>308</v>
      </c>
      <c r="C142" t="s">
        <v>468</v>
      </c>
      <c r="D142">
        <v>31500</v>
      </c>
      <c r="E142" t="s">
        <v>38</v>
      </c>
      <c r="F142" t="s">
        <v>20</v>
      </c>
    </row>
    <row r="143" spans="1:6" x14ac:dyDescent="0.25">
      <c r="A143">
        <v>142</v>
      </c>
      <c r="B143" t="s">
        <v>214</v>
      </c>
      <c r="C143" t="s">
        <v>469</v>
      </c>
      <c r="D143">
        <v>50000</v>
      </c>
      <c r="E143" t="s">
        <v>8</v>
      </c>
      <c r="F143" t="s">
        <v>9</v>
      </c>
    </row>
    <row r="144" spans="1:6" x14ac:dyDescent="0.25">
      <c r="A144">
        <v>143</v>
      </c>
      <c r="B144" t="s">
        <v>132</v>
      </c>
      <c r="C144" t="s">
        <v>470</v>
      </c>
      <c r="D144">
        <v>6500</v>
      </c>
      <c r="E144" t="s">
        <v>8</v>
      </c>
      <c r="F144" t="s">
        <v>9</v>
      </c>
    </row>
    <row r="145" spans="1:6" x14ac:dyDescent="0.25">
      <c r="A145">
        <v>144</v>
      </c>
      <c r="B145" t="s">
        <v>104</v>
      </c>
      <c r="C145" t="s">
        <v>471</v>
      </c>
      <c r="D145">
        <v>21000</v>
      </c>
      <c r="E145" t="s">
        <v>8</v>
      </c>
      <c r="F145" t="s">
        <v>9</v>
      </c>
    </row>
    <row r="146" spans="1:6" x14ac:dyDescent="0.25">
      <c r="A146">
        <v>145</v>
      </c>
      <c r="B146" t="s">
        <v>359</v>
      </c>
      <c r="C146" t="s">
        <v>460</v>
      </c>
      <c r="D146">
        <v>69500</v>
      </c>
      <c r="E146" t="s">
        <v>23</v>
      </c>
      <c r="F146" t="s">
        <v>20</v>
      </c>
    </row>
    <row r="147" spans="1:6" x14ac:dyDescent="0.25">
      <c r="A147">
        <v>146</v>
      </c>
      <c r="B147" t="s">
        <v>327</v>
      </c>
      <c r="C147" t="s">
        <v>461</v>
      </c>
      <c r="D147">
        <v>25700</v>
      </c>
      <c r="E147" t="s">
        <v>38</v>
      </c>
      <c r="F147" t="s">
        <v>20</v>
      </c>
    </row>
    <row r="148" spans="1:6" x14ac:dyDescent="0.25">
      <c r="A148">
        <v>147</v>
      </c>
      <c r="B148" t="s">
        <v>396</v>
      </c>
      <c r="C148" t="s">
        <v>462</v>
      </c>
      <c r="D148">
        <v>116200</v>
      </c>
      <c r="E148" t="s">
        <v>8</v>
      </c>
      <c r="F148" t="s">
        <v>9</v>
      </c>
    </row>
    <row r="149" spans="1:6" x14ac:dyDescent="0.25">
      <c r="A149">
        <v>148</v>
      </c>
      <c r="B149" t="s">
        <v>400</v>
      </c>
      <c r="C149" t="s">
        <v>460</v>
      </c>
      <c r="D149">
        <v>450000</v>
      </c>
      <c r="E149" t="s">
        <v>23</v>
      </c>
      <c r="F149" t="s">
        <v>9</v>
      </c>
    </row>
    <row r="150" spans="1:6" x14ac:dyDescent="0.25">
      <c r="A150">
        <v>149</v>
      </c>
      <c r="B150" t="s">
        <v>156</v>
      </c>
      <c r="C150" t="s">
        <v>464</v>
      </c>
      <c r="D150">
        <v>57500</v>
      </c>
      <c r="E150" t="s">
        <v>8</v>
      </c>
      <c r="F150" t="s">
        <v>20</v>
      </c>
    </row>
    <row r="151" spans="1:6" x14ac:dyDescent="0.25">
      <c r="A151">
        <v>150</v>
      </c>
      <c r="B151" t="s">
        <v>238</v>
      </c>
      <c r="C151" t="s">
        <v>465</v>
      </c>
      <c r="D151">
        <v>8900</v>
      </c>
      <c r="E151" t="s">
        <v>38</v>
      </c>
      <c r="F151" t="s">
        <v>20</v>
      </c>
    </row>
    <row r="152" spans="1:6" x14ac:dyDescent="0.25">
      <c r="A152">
        <v>151</v>
      </c>
      <c r="B152" t="s">
        <v>365</v>
      </c>
      <c r="C152" t="s">
        <v>466</v>
      </c>
      <c r="D152">
        <v>30200</v>
      </c>
      <c r="E152" t="s">
        <v>23</v>
      </c>
      <c r="F152" t="s">
        <v>9</v>
      </c>
    </row>
    <row r="153" spans="1:6" x14ac:dyDescent="0.25">
      <c r="A153">
        <v>152</v>
      </c>
      <c r="B153" t="s">
        <v>327</v>
      </c>
      <c r="C153" t="s">
        <v>467</v>
      </c>
      <c r="D153">
        <v>23800</v>
      </c>
      <c r="E153" t="s">
        <v>8</v>
      </c>
      <c r="F153" t="s">
        <v>9</v>
      </c>
    </row>
    <row r="154" spans="1:6" x14ac:dyDescent="0.25">
      <c r="A154">
        <v>153</v>
      </c>
      <c r="B154" t="s">
        <v>341</v>
      </c>
      <c r="C154" t="s">
        <v>468</v>
      </c>
      <c r="D154">
        <v>96600</v>
      </c>
      <c r="E154" t="s">
        <v>8</v>
      </c>
      <c r="F154" t="s">
        <v>9</v>
      </c>
    </row>
    <row r="155" spans="1:6" x14ac:dyDescent="0.25">
      <c r="A155">
        <v>154</v>
      </c>
      <c r="B155" t="s">
        <v>220</v>
      </c>
      <c r="C155" t="s">
        <v>469</v>
      </c>
      <c r="D155">
        <v>32300</v>
      </c>
      <c r="E155" t="s">
        <v>8</v>
      </c>
      <c r="F155" t="s">
        <v>9</v>
      </c>
    </row>
    <row r="156" spans="1:6" x14ac:dyDescent="0.25">
      <c r="A156">
        <v>155</v>
      </c>
      <c r="B156" t="s">
        <v>60</v>
      </c>
      <c r="C156" t="s">
        <v>470</v>
      </c>
      <c r="D156">
        <v>15000</v>
      </c>
      <c r="E156" t="s">
        <v>8</v>
      </c>
      <c r="F156" t="s">
        <v>9</v>
      </c>
    </row>
    <row r="157" spans="1:6" x14ac:dyDescent="0.25">
      <c r="A157">
        <v>156</v>
      </c>
      <c r="B157" t="s">
        <v>116</v>
      </c>
      <c r="C157" t="s">
        <v>471</v>
      </c>
      <c r="D157">
        <v>18600</v>
      </c>
      <c r="E157" t="s">
        <v>8</v>
      </c>
      <c r="F157" t="s">
        <v>9</v>
      </c>
    </row>
    <row r="158" spans="1:6" x14ac:dyDescent="0.25">
      <c r="A158">
        <v>157</v>
      </c>
      <c r="B158" t="s">
        <v>212</v>
      </c>
      <c r="C158" t="s">
        <v>460</v>
      </c>
      <c r="D158">
        <v>49400</v>
      </c>
      <c r="E158" t="s">
        <v>8</v>
      </c>
      <c r="F158" t="s">
        <v>9</v>
      </c>
    </row>
    <row r="159" spans="1:6" x14ac:dyDescent="0.25">
      <c r="A159">
        <v>158</v>
      </c>
      <c r="B159" t="s">
        <v>180</v>
      </c>
      <c r="C159" t="s">
        <v>461</v>
      </c>
      <c r="D159">
        <v>10400</v>
      </c>
      <c r="E159" t="s">
        <v>8</v>
      </c>
      <c r="F159" t="s">
        <v>9</v>
      </c>
    </row>
    <row r="160" spans="1:6" x14ac:dyDescent="0.25">
      <c r="A160">
        <v>159</v>
      </c>
      <c r="B160" t="s">
        <v>62</v>
      </c>
      <c r="C160" t="s">
        <v>462</v>
      </c>
      <c r="D160">
        <v>20900</v>
      </c>
      <c r="E160" t="s">
        <v>8</v>
      </c>
      <c r="F160" t="s">
        <v>20</v>
      </c>
    </row>
    <row r="161" spans="1:6" x14ac:dyDescent="0.25">
      <c r="A161">
        <v>160</v>
      </c>
      <c r="B161" t="s">
        <v>151</v>
      </c>
      <c r="C161" t="s">
        <v>463</v>
      </c>
      <c r="D161">
        <v>36500</v>
      </c>
      <c r="E161" t="s">
        <v>8</v>
      </c>
      <c r="F161" t="s">
        <v>9</v>
      </c>
    </row>
    <row r="162" spans="1:6" x14ac:dyDescent="0.25">
      <c r="A162">
        <v>161</v>
      </c>
      <c r="B162" t="s">
        <v>212</v>
      </c>
      <c r="C162" t="s">
        <v>464</v>
      </c>
      <c r="D162">
        <v>8800</v>
      </c>
      <c r="E162" t="s">
        <v>23</v>
      </c>
      <c r="F162" t="s">
        <v>9</v>
      </c>
    </row>
    <row r="163" spans="1:6" x14ac:dyDescent="0.25">
      <c r="A163">
        <v>162</v>
      </c>
      <c r="B163" t="s">
        <v>278</v>
      </c>
      <c r="C163" t="s">
        <v>465</v>
      </c>
      <c r="D163">
        <v>66800</v>
      </c>
      <c r="E163" t="s">
        <v>8</v>
      </c>
      <c r="F163" t="s">
        <v>9</v>
      </c>
    </row>
    <row r="164" spans="1:6" x14ac:dyDescent="0.25">
      <c r="A164">
        <v>163</v>
      </c>
      <c r="B164" t="s">
        <v>192</v>
      </c>
      <c r="C164" t="s">
        <v>466</v>
      </c>
      <c r="D164">
        <v>50800</v>
      </c>
      <c r="E164" t="s">
        <v>38</v>
      </c>
      <c r="F164" t="s">
        <v>20</v>
      </c>
    </row>
    <row r="165" spans="1:6" x14ac:dyDescent="0.25">
      <c r="A165">
        <v>164</v>
      </c>
      <c r="B165" t="s">
        <v>34</v>
      </c>
      <c r="C165" t="s">
        <v>467</v>
      </c>
      <c r="D165">
        <v>14200</v>
      </c>
      <c r="E165" t="s">
        <v>38</v>
      </c>
      <c r="F165" t="s">
        <v>20</v>
      </c>
    </row>
    <row r="166" spans="1:6" x14ac:dyDescent="0.25">
      <c r="A166">
        <v>165</v>
      </c>
      <c r="B166" t="s">
        <v>72</v>
      </c>
      <c r="C166" t="s">
        <v>468</v>
      </c>
      <c r="D166">
        <v>114300</v>
      </c>
      <c r="E166" t="s">
        <v>38</v>
      </c>
      <c r="F166" t="s">
        <v>20</v>
      </c>
    </row>
    <row r="167" spans="1:6" x14ac:dyDescent="0.25">
      <c r="A167">
        <v>166</v>
      </c>
      <c r="B167" t="s">
        <v>119</v>
      </c>
      <c r="C167" t="s">
        <v>469</v>
      </c>
      <c r="D167">
        <v>38900</v>
      </c>
      <c r="E167" t="s">
        <v>23</v>
      </c>
      <c r="F167" t="s">
        <v>9</v>
      </c>
    </row>
    <row r="168" spans="1:6" x14ac:dyDescent="0.25">
      <c r="A168">
        <v>167</v>
      </c>
      <c r="B168" t="s">
        <v>199</v>
      </c>
      <c r="C168" t="s">
        <v>470</v>
      </c>
      <c r="D168">
        <v>13100</v>
      </c>
      <c r="E168" t="s">
        <v>23</v>
      </c>
      <c r="F168" t="s">
        <v>9</v>
      </c>
    </row>
    <row r="169" spans="1:6" x14ac:dyDescent="0.25">
      <c r="A169">
        <v>168</v>
      </c>
      <c r="B169" t="s">
        <v>196</v>
      </c>
      <c r="C169" t="s">
        <v>471</v>
      </c>
      <c r="D169">
        <v>173100</v>
      </c>
      <c r="E169" t="s">
        <v>8</v>
      </c>
      <c r="F169" t="s">
        <v>9</v>
      </c>
    </row>
    <row r="170" spans="1:6" x14ac:dyDescent="0.25">
      <c r="A170">
        <v>169</v>
      </c>
      <c r="B170" t="s">
        <v>35</v>
      </c>
      <c r="C170" t="s">
        <v>460</v>
      </c>
      <c r="D170">
        <v>19500</v>
      </c>
      <c r="E170" t="s">
        <v>8</v>
      </c>
      <c r="F170" t="s">
        <v>9</v>
      </c>
    </row>
    <row r="171" spans="1:6" x14ac:dyDescent="0.25">
      <c r="A171">
        <v>170</v>
      </c>
      <c r="B171" t="s">
        <v>283</v>
      </c>
      <c r="C171" t="s">
        <v>461</v>
      </c>
      <c r="D171">
        <v>10100</v>
      </c>
      <c r="E171" t="s">
        <v>23</v>
      </c>
      <c r="F171" t="s">
        <v>9</v>
      </c>
    </row>
    <row r="172" spans="1:6" x14ac:dyDescent="0.25">
      <c r="A172">
        <v>171</v>
      </c>
      <c r="B172" t="s">
        <v>399</v>
      </c>
      <c r="C172" t="s">
        <v>462</v>
      </c>
      <c r="D172">
        <v>27100</v>
      </c>
      <c r="E172" t="s">
        <v>8</v>
      </c>
      <c r="F172" t="s">
        <v>9</v>
      </c>
    </row>
    <row r="173" spans="1:6" x14ac:dyDescent="0.25">
      <c r="A173">
        <v>172</v>
      </c>
      <c r="B173" t="s">
        <v>420</v>
      </c>
      <c r="C173" t="s">
        <v>463</v>
      </c>
      <c r="D173">
        <v>23500</v>
      </c>
      <c r="E173" t="s">
        <v>23</v>
      </c>
      <c r="F173" t="s">
        <v>9</v>
      </c>
    </row>
    <row r="174" spans="1:6" x14ac:dyDescent="0.25">
      <c r="A174">
        <v>173</v>
      </c>
      <c r="B174" t="s">
        <v>123</v>
      </c>
      <c r="C174" t="s">
        <v>464</v>
      </c>
      <c r="D174">
        <v>20600</v>
      </c>
      <c r="E174" t="s">
        <v>8</v>
      </c>
      <c r="F174" t="s">
        <v>9</v>
      </c>
    </row>
    <row r="175" spans="1:6" x14ac:dyDescent="0.25">
      <c r="A175">
        <v>174</v>
      </c>
      <c r="B175" t="s">
        <v>403</v>
      </c>
      <c r="C175" t="s">
        <v>465</v>
      </c>
      <c r="D175">
        <v>28600</v>
      </c>
      <c r="E175" t="s">
        <v>23</v>
      </c>
      <c r="F175" t="s">
        <v>9</v>
      </c>
    </row>
    <row r="176" spans="1:6" x14ac:dyDescent="0.25">
      <c r="A176">
        <v>175</v>
      </c>
      <c r="B176" t="s">
        <v>211</v>
      </c>
      <c r="C176" t="s">
        <v>466</v>
      </c>
      <c r="D176">
        <v>155400</v>
      </c>
      <c r="E176" t="s">
        <v>8</v>
      </c>
      <c r="F176" t="s">
        <v>9</v>
      </c>
    </row>
    <row r="177" spans="1:6" x14ac:dyDescent="0.25">
      <c r="A177">
        <v>176</v>
      </c>
      <c r="B177" t="s">
        <v>330</v>
      </c>
      <c r="C177" t="s">
        <v>467</v>
      </c>
      <c r="D177">
        <v>255500</v>
      </c>
      <c r="E177" t="s">
        <v>8</v>
      </c>
      <c r="F177" t="s">
        <v>9</v>
      </c>
    </row>
    <row r="178" spans="1:6" x14ac:dyDescent="0.25">
      <c r="A178">
        <v>177</v>
      </c>
      <c r="B178" t="s">
        <v>213</v>
      </c>
      <c r="C178" t="s">
        <v>468</v>
      </c>
      <c r="D178">
        <v>22200</v>
      </c>
      <c r="E178" t="s">
        <v>23</v>
      </c>
      <c r="F178" t="s">
        <v>9</v>
      </c>
    </row>
    <row r="179" spans="1:6" x14ac:dyDescent="0.25">
      <c r="A179">
        <v>178</v>
      </c>
      <c r="B179" t="s">
        <v>370</v>
      </c>
      <c r="C179" t="s">
        <v>469</v>
      </c>
      <c r="D179">
        <v>12400</v>
      </c>
      <c r="E179" t="s">
        <v>38</v>
      </c>
      <c r="F179" t="s">
        <v>20</v>
      </c>
    </row>
    <row r="180" spans="1:6" x14ac:dyDescent="0.25">
      <c r="A180">
        <v>179</v>
      </c>
      <c r="B180" t="s">
        <v>254</v>
      </c>
      <c r="C180" t="s">
        <v>470</v>
      </c>
      <c r="D180">
        <v>65200</v>
      </c>
      <c r="E180" t="s">
        <v>38</v>
      </c>
      <c r="F180" t="s">
        <v>20</v>
      </c>
    </row>
    <row r="181" spans="1:6" x14ac:dyDescent="0.25">
      <c r="A181">
        <v>180</v>
      </c>
      <c r="B181" t="s">
        <v>24</v>
      </c>
      <c r="C181" t="s">
        <v>471</v>
      </c>
      <c r="D181">
        <v>9300</v>
      </c>
      <c r="E181" t="s">
        <v>8</v>
      </c>
      <c r="F181" t="s">
        <v>9</v>
      </c>
    </row>
    <row r="182" spans="1:6" x14ac:dyDescent="0.25">
      <c r="A182">
        <v>181</v>
      </c>
      <c r="B182" t="s">
        <v>361</v>
      </c>
      <c r="C182" t="s">
        <v>460</v>
      </c>
      <c r="D182">
        <v>27700</v>
      </c>
      <c r="E182" t="s">
        <v>23</v>
      </c>
      <c r="F182" t="s">
        <v>9</v>
      </c>
    </row>
    <row r="183" spans="1:6" x14ac:dyDescent="0.25">
      <c r="A183">
        <v>182</v>
      </c>
      <c r="B183" t="s">
        <v>336</v>
      </c>
      <c r="C183" t="s">
        <v>461</v>
      </c>
      <c r="D183">
        <v>21400</v>
      </c>
      <c r="E183" t="s">
        <v>8</v>
      </c>
      <c r="F183" t="s">
        <v>9</v>
      </c>
    </row>
    <row r="184" spans="1:6" x14ac:dyDescent="0.25">
      <c r="A184">
        <v>183</v>
      </c>
      <c r="B184" t="s">
        <v>171</v>
      </c>
      <c r="C184" t="s">
        <v>462</v>
      </c>
      <c r="D184">
        <v>124200</v>
      </c>
      <c r="E184" t="s">
        <v>23</v>
      </c>
      <c r="F184" t="s">
        <v>9</v>
      </c>
    </row>
    <row r="185" spans="1:6" x14ac:dyDescent="0.25">
      <c r="A185">
        <v>184</v>
      </c>
      <c r="B185" t="s">
        <v>229</v>
      </c>
      <c r="C185" t="s">
        <v>463</v>
      </c>
      <c r="D185">
        <v>6900</v>
      </c>
      <c r="E185" t="s">
        <v>8</v>
      </c>
      <c r="F185" t="s">
        <v>9</v>
      </c>
    </row>
    <row r="186" spans="1:6" x14ac:dyDescent="0.25">
      <c r="A186">
        <v>185</v>
      </c>
      <c r="B186" t="s">
        <v>148</v>
      </c>
      <c r="C186" t="s">
        <v>464</v>
      </c>
      <c r="D186">
        <v>72500</v>
      </c>
      <c r="E186" t="s">
        <v>8</v>
      </c>
      <c r="F186" t="s">
        <v>9</v>
      </c>
    </row>
    <row r="187" spans="1:6" x14ac:dyDescent="0.25">
      <c r="A187">
        <v>186</v>
      </c>
      <c r="B187" t="s">
        <v>266</v>
      </c>
      <c r="C187" t="s">
        <v>465</v>
      </c>
      <c r="D187">
        <v>239900</v>
      </c>
      <c r="E187" t="s">
        <v>8</v>
      </c>
      <c r="F187" t="s">
        <v>9</v>
      </c>
    </row>
    <row r="188" spans="1:6" x14ac:dyDescent="0.25">
      <c r="A188">
        <v>187</v>
      </c>
      <c r="B188" t="s">
        <v>367</v>
      </c>
      <c r="C188" t="s">
        <v>466</v>
      </c>
      <c r="D188">
        <v>18900</v>
      </c>
      <c r="E188" t="s">
        <v>8</v>
      </c>
      <c r="F188" t="s">
        <v>9</v>
      </c>
    </row>
    <row r="189" spans="1:6" x14ac:dyDescent="0.25">
      <c r="A189">
        <v>188</v>
      </c>
      <c r="B189" t="s">
        <v>138</v>
      </c>
      <c r="C189" t="s">
        <v>467</v>
      </c>
      <c r="D189">
        <v>37600</v>
      </c>
      <c r="E189" t="s">
        <v>8</v>
      </c>
      <c r="F189" t="s">
        <v>9</v>
      </c>
    </row>
    <row r="190" spans="1:6" x14ac:dyDescent="0.25">
      <c r="A190">
        <v>189</v>
      </c>
      <c r="B190" t="s">
        <v>150</v>
      </c>
      <c r="C190" t="s">
        <v>468</v>
      </c>
      <c r="D190">
        <v>113300</v>
      </c>
      <c r="E190" t="s">
        <v>8</v>
      </c>
      <c r="F190" t="s">
        <v>9</v>
      </c>
    </row>
    <row r="191" spans="1:6" x14ac:dyDescent="0.25">
      <c r="A191">
        <v>190</v>
      </c>
      <c r="B191" t="s">
        <v>103</v>
      </c>
      <c r="C191" t="s">
        <v>469</v>
      </c>
      <c r="D191">
        <v>12000</v>
      </c>
      <c r="E191" t="s">
        <v>8</v>
      </c>
      <c r="F191" t="s">
        <v>9</v>
      </c>
    </row>
    <row r="192" spans="1:6" x14ac:dyDescent="0.25">
      <c r="A192">
        <v>191</v>
      </c>
      <c r="B192" t="s">
        <v>150</v>
      </c>
      <c r="C192" t="s">
        <v>470</v>
      </c>
      <c r="D192">
        <v>500000</v>
      </c>
      <c r="E192" t="s">
        <v>8</v>
      </c>
      <c r="F192" t="s">
        <v>9</v>
      </c>
    </row>
    <row r="193" spans="1:6" x14ac:dyDescent="0.25">
      <c r="A193">
        <v>192</v>
      </c>
      <c r="B193" t="s">
        <v>225</v>
      </c>
      <c r="C193" t="s">
        <v>471</v>
      </c>
      <c r="D193">
        <v>41600</v>
      </c>
      <c r="E193" t="s">
        <v>8</v>
      </c>
      <c r="F193" t="s">
        <v>20</v>
      </c>
    </row>
    <row r="194" spans="1:6" x14ac:dyDescent="0.25">
      <c r="A194">
        <v>193</v>
      </c>
      <c r="B194" t="s">
        <v>339</v>
      </c>
      <c r="C194" t="s">
        <v>460</v>
      </c>
      <c r="D194">
        <v>10900</v>
      </c>
      <c r="E194" t="s">
        <v>8</v>
      </c>
      <c r="F194" t="s">
        <v>9</v>
      </c>
    </row>
    <row r="195" spans="1:6" x14ac:dyDescent="0.25">
      <c r="A195">
        <v>194</v>
      </c>
      <c r="B195" t="s">
        <v>271</v>
      </c>
      <c r="C195" t="s">
        <v>461</v>
      </c>
      <c r="D195">
        <v>117200</v>
      </c>
      <c r="E195" t="s">
        <v>8</v>
      </c>
      <c r="F195" t="s">
        <v>9</v>
      </c>
    </row>
    <row r="196" spans="1:6" x14ac:dyDescent="0.25">
      <c r="A196">
        <v>195</v>
      </c>
      <c r="B196" t="s">
        <v>85</v>
      </c>
      <c r="C196" t="s">
        <v>462</v>
      </c>
      <c r="D196">
        <v>43400</v>
      </c>
      <c r="E196" t="s">
        <v>23</v>
      </c>
      <c r="F196" t="s">
        <v>20</v>
      </c>
    </row>
    <row r="197" spans="1:6" x14ac:dyDescent="0.25">
      <c r="A197">
        <v>196</v>
      </c>
      <c r="B197" t="s">
        <v>182</v>
      </c>
      <c r="C197" t="s">
        <v>463</v>
      </c>
      <c r="D197">
        <v>27500</v>
      </c>
      <c r="E197" t="s">
        <v>38</v>
      </c>
      <c r="F197" t="s">
        <v>20</v>
      </c>
    </row>
    <row r="198" spans="1:6" x14ac:dyDescent="0.25">
      <c r="A198">
        <v>197</v>
      </c>
      <c r="B198" t="s">
        <v>163</v>
      </c>
      <c r="C198" t="s">
        <v>464</v>
      </c>
      <c r="D198">
        <v>9200</v>
      </c>
      <c r="E198" t="s">
        <v>8</v>
      </c>
      <c r="F198" t="s">
        <v>9</v>
      </c>
    </row>
    <row r="199" spans="1:6" x14ac:dyDescent="0.25">
      <c r="A199">
        <v>198</v>
      </c>
      <c r="B199" t="s">
        <v>36</v>
      </c>
      <c r="C199" t="s">
        <v>465</v>
      </c>
      <c r="D199">
        <v>31500</v>
      </c>
      <c r="E199" t="s">
        <v>8</v>
      </c>
      <c r="F199" t="s">
        <v>9</v>
      </c>
    </row>
    <row r="200" spans="1:6" x14ac:dyDescent="0.25">
      <c r="A200">
        <v>199</v>
      </c>
      <c r="B200" t="s">
        <v>165</v>
      </c>
      <c r="C200" t="s">
        <v>466</v>
      </c>
      <c r="D200">
        <v>17100</v>
      </c>
      <c r="E200" t="s">
        <v>8</v>
      </c>
      <c r="F200" t="s">
        <v>9</v>
      </c>
    </row>
    <row r="201" spans="1:6" x14ac:dyDescent="0.25">
      <c r="A201">
        <v>200</v>
      </c>
      <c r="B201" t="s">
        <v>273</v>
      </c>
      <c r="C201" t="s">
        <v>467</v>
      </c>
      <c r="D201">
        <v>31000</v>
      </c>
      <c r="E201" t="s">
        <v>8</v>
      </c>
      <c r="F201" t="s">
        <v>9</v>
      </c>
    </row>
    <row r="202" spans="1:6" x14ac:dyDescent="0.25">
      <c r="A202">
        <v>201</v>
      </c>
      <c r="B202" t="s">
        <v>47</v>
      </c>
      <c r="C202" t="s">
        <v>468</v>
      </c>
      <c r="D202">
        <v>25800</v>
      </c>
      <c r="E202" t="s">
        <v>38</v>
      </c>
      <c r="F202" t="s">
        <v>20</v>
      </c>
    </row>
    <row r="203" spans="1:6" x14ac:dyDescent="0.25">
      <c r="A203">
        <v>202</v>
      </c>
      <c r="B203" t="s">
        <v>266</v>
      </c>
      <c r="C203" t="s">
        <v>469</v>
      </c>
      <c r="D203">
        <v>104900</v>
      </c>
      <c r="E203" t="s">
        <v>8</v>
      </c>
      <c r="F203" t="s">
        <v>20</v>
      </c>
    </row>
    <row r="204" spans="1:6" x14ac:dyDescent="0.25">
      <c r="A204">
        <v>203</v>
      </c>
      <c r="B204" t="s">
        <v>74</v>
      </c>
      <c r="C204" t="s">
        <v>470</v>
      </c>
      <c r="D204">
        <v>24200</v>
      </c>
      <c r="E204" t="s">
        <v>8</v>
      </c>
      <c r="F204" t="s">
        <v>9</v>
      </c>
    </row>
    <row r="205" spans="1:6" x14ac:dyDescent="0.25">
      <c r="A205">
        <v>204</v>
      </c>
      <c r="B205" t="s">
        <v>391</v>
      </c>
      <c r="C205" t="s">
        <v>471</v>
      </c>
      <c r="D205">
        <v>10900</v>
      </c>
      <c r="E205" t="s">
        <v>8</v>
      </c>
      <c r="F205" t="s">
        <v>9</v>
      </c>
    </row>
    <row r="206" spans="1:6" x14ac:dyDescent="0.25">
      <c r="A206">
        <v>205</v>
      </c>
      <c r="B206" t="s">
        <v>254</v>
      </c>
      <c r="C206" t="s">
        <v>460</v>
      </c>
      <c r="D206">
        <v>25500</v>
      </c>
      <c r="E206" t="s">
        <v>23</v>
      </c>
      <c r="F206" t="s">
        <v>9</v>
      </c>
    </row>
    <row r="207" spans="1:6" x14ac:dyDescent="0.25">
      <c r="A207">
        <v>206</v>
      </c>
      <c r="B207" t="s">
        <v>417</v>
      </c>
      <c r="C207" t="s">
        <v>461</v>
      </c>
      <c r="D207">
        <v>26300</v>
      </c>
      <c r="E207" t="s">
        <v>38</v>
      </c>
      <c r="F207" t="s">
        <v>9</v>
      </c>
    </row>
    <row r="208" spans="1:6" x14ac:dyDescent="0.25">
      <c r="A208">
        <v>207</v>
      </c>
      <c r="B208" t="s">
        <v>343</v>
      </c>
      <c r="C208" t="s">
        <v>462</v>
      </c>
      <c r="D208">
        <v>10500</v>
      </c>
      <c r="E208" t="s">
        <v>8</v>
      </c>
      <c r="F208" t="s">
        <v>9</v>
      </c>
    </row>
    <row r="209" spans="1:6" x14ac:dyDescent="0.25">
      <c r="A209">
        <v>208</v>
      </c>
      <c r="B209" t="s">
        <v>158</v>
      </c>
      <c r="C209" t="s">
        <v>463</v>
      </c>
      <c r="D209">
        <v>9300</v>
      </c>
      <c r="E209" t="s">
        <v>38</v>
      </c>
      <c r="F209" t="s">
        <v>20</v>
      </c>
    </row>
    <row r="210" spans="1:6" x14ac:dyDescent="0.25">
      <c r="A210">
        <v>209</v>
      </c>
      <c r="B210" t="s">
        <v>145</v>
      </c>
      <c r="C210" t="s">
        <v>464</v>
      </c>
      <c r="D210">
        <v>57900</v>
      </c>
      <c r="E210" t="s">
        <v>23</v>
      </c>
      <c r="F210" t="s">
        <v>9</v>
      </c>
    </row>
    <row r="211" spans="1:6" x14ac:dyDescent="0.25">
      <c r="A211">
        <v>210</v>
      </c>
      <c r="B211" t="s">
        <v>248</v>
      </c>
      <c r="C211" t="s">
        <v>465</v>
      </c>
      <c r="D211">
        <v>16000</v>
      </c>
      <c r="E211" t="s">
        <v>8</v>
      </c>
      <c r="F211" t="s">
        <v>9</v>
      </c>
    </row>
    <row r="212" spans="1:6" x14ac:dyDescent="0.25">
      <c r="A212">
        <v>211</v>
      </c>
      <c r="B212" t="s">
        <v>215</v>
      </c>
      <c r="C212" t="s">
        <v>466</v>
      </c>
      <c r="D212">
        <v>55600</v>
      </c>
      <c r="E212" t="s">
        <v>8</v>
      </c>
      <c r="F212" t="s">
        <v>9</v>
      </c>
    </row>
    <row r="213" spans="1:6" x14ac:dyDescent="0.25">
      <c r="A213">
        <v>212</v>
      </c>
      <c r="B213" t="s">
        <v>312</v>
      </c>
      <c r="C213" t="s">
        <v>467</v>
      </c>
      <c r="D213">
        <v>14100</v>
      </c>
      <c r="E213" t="s">
        <v>8</v>
      </c>
      <c r="F213" t="s">
        <v>9</v>
      </c>
    </row>
    <row r="214" spans="1:6" x14ac:dyDescent="0.25">
      <c r="A214">
        <v>213</v>
      </c>
      <c r="B214" t="s">
        <v>127</v>
      </c>
      <c r="C214" t="s">
        <v>468</v>
      </c>
      <c r="D214">
        <v>70000</v>
      </c>
      <c r="E214" t="s">
        <v>8</v>
      </c>
      <c r="F214" t="s">
        <v>9</v>
      </c>
    </row>
    <row r="215" spans="1:6" x14ac:dyDescent="0.25">
      <c r="A215">
        <v>214</v>
      </c>
      <c r="B215" t="s">
        <v>178</v>
      </c>
      <c r="C215" t="s">
        <v>469</v>
      </c>
      <c r="D215">
        <v>63200</v>
      </c>
      <c r="E215" t="s">
        <v>23</v>
      </c>
      <c r="F215" t="s">
        <v>9</v>
      </c>
    </row>
    <row r="216" spans="1:6" x14ac:dyDescent="0.25">
      <c r="A216">
        <v>215</v>
      </c>
      <c r="B216" t="s">
        <v>190</v>
      </c>
      <c r="C216" t="s">
        <v>470</v>
      </c>
      <c r="D216">
        <v>10200</v>
      </c>
      <c r="E216" t="s">
        <v>8</v>
      </c>
      <c r="F216" t="s">
        <v>9</v>
      </c>
    </row>
    <row r="217" spans="1:6" x14ac:dyDescent="0.25">
      <c r="A217">
        <v>216</v>
      </c>
      <c r="B217" t="s">
        <v>175</v>
      </c>
      <c r="C217" t="s">
        <v>471</v>
      </c>
      <c r="D217">
        <v>57000</v>
      </c>
      <c r="E217" t="s">
        <v>8</v>
      </c>
      <c r="F217" t="s">
        <v>9</v>
      </c>
    </row>
    <row r="218" spans="1:6" x14ac:dyDescent="0.25">
      <c r="A218">
        <v>217</v>
      </c>
      <c r="B218" t="s">
        <v>48</v>
      </c>
      <c r="C218" t="s">
        <v>460</v>
      </c>
      <c r="D218">
        <v>5000</v>
      </c>
      <c r="E218" t="s">
        <v>8</v>
      </c>
      <c r="F218" t="s">
        <v>9</v>
      </c>
    </row>
    <row r="219" spans="1:6" x14ac:dyDescent="0.25">
      <c r="A219">
        <v>218</v>
      </c>
      <c r="B219" t="s">
        <v>98</v>
      </c>
      <c r="C219" t="s">
        <v>461</v>
      </c>
      <c r="D219">
        <v>13300</v>
      </c>
      <c r="E219" t="s">
        <v>8</v>
      </c>
      <c r="F219" t="s">
        <v>20</v>
      </c>
    </row>
    <row r="220" spans="1:6" x14ac:dyDescent="0.25">
      <c r="A220">
        <v>219</v>
      </c>
      <c r="B220" t="s">
        <v>398</v>
      </c>
      <c r="C220" t="s">
        <v>462</v>
      </c>
      <c r="D220">
        <v>24000</v>
      </c>
      <c r="E220" t="s">
        <v>8</v>
      </c>
      <c r="F220" t="s">
        <v>9</v>
      </c>
    </row>
    <row r="221" spans="1:6" x14ac:dyDescent="0.25">
      <c r="A221">
        <v>220</v>
      </c>
      <c r="B221" t="s">
        <v>228</v>
      </c>
      <c r="C221" t="s">
        <v>463</v>
      </c>
      <c r="D221">
        <v>17200</v>
      </c>
      <c r="E221" t="s">
        <v>8</v>
      </c>
      <c r="F221" t="s">
        <v>9</v>
      </c>
    </row>
    <row r="222" spans="1:6" x14ac:dyDescent="0.25">
      <c r="A222">
        <v>221</v>
      </c>
      <c r="B222" t="s">
        <v>447</v>
      </c>
      <c r="C222" t="s">
        <v>464</v>
      </c>
      <c r="D222">
        <v>15400</v>
      </c>
      <c r="E222" t="s">
        <v>8</v>
      </c>
      <c r="F222" t="s">
        <v>9</v>
      </c>
    </row>
    <row r="223" spans="1:6" x14ac:dyDescent="0.25">
      <c r="A223">
        <v>222</v>
      </c>
      <c r="B223" t="s">
        <v>324</v>
      </c>
      <c r="C223" t="s">
        <v>465</v>
      </c>
      <c r="D223">
        <v>27400</v>
      </c>
      <c r="E223" t="s">
        <v>23</v>
      </c>
      <c r="F223" t="s">
        <v>9</v>
      </c>
    </row>
    <row r="224" spans="1:6" x14ac:dyDescent="0.25">
      <c r="A224">
        <v>223</v>
      </c>
      <c r="B224" t="s">
        <v>374</v>
      </c>
      <c r="C224" t="s">
        <v>466</v>
      </c>
      <c r="D224">
        <v>21700</v>
      </c>
      <c r="E224" t="s">
        <v>8</v>
      </c>
      <c r="F224" t="s">
        <v>9</v>
      </c>
    </row>
    <row r="225" spans="1:6" x14ac:dyDescent="0.25">
      <c r="A225">
        <v>224</v>
      </c>
      <c r="B225" t="s">
        <v>355</v>
      </c>
      <c r="C225" t="s">
        <v>467</v>
      </c>
      <c r="D225">
        <v>17700</v>
      </c>
      <c r="E225" t="s">
        <v>8</v>
      </c>
      <c r="F225" t="s">
        <v>9</v>
      </c>
    </row>
    <row r="226" spans="1:6" x14ac:dyDescent="0.25">
      <c r="A226">
        <v>225</v>
      </c>
      <c r="B226" t="s">
        <v>21</v>
      </c>
      <c r="C226" t="s">
        <v>468</v>
      </c>
      <c r="D226">
        <v>27900</v>
      </c>
      <c r="E226" t="s">
        <v>23</v>
      </c>
      <c r="F226" t="s">
        <v>9</v>
      </c>
    </row>
    <row r="227" spans="1:6" x14ac:dyDescent="0.25">
      <c r="A227">
        <v>226</v>
      </c>
      <c r="B227" t="s">
        <v>65</v>
      </c>
      <c r="C227" t="s">
        <v>469</v>
      </c>
      <c r="D227">
        <v>158200</v>
      </c>
      <c r="E227" t="s">
        <v>38</v>
      </c>
      <c r="F227" t="s">
        <v>20</v>
      </c>
    </row>
    <row r="228" spans="1:6" x14ac:dyDescent="0.25">
      <c r="A228">
        <v>227</v>
      </c>
      <c r="B228" t="s">
        <v>334</v>
      </c>
      <c r="C228" t="s">
        <v>470</v>
      </c>
      <c r="D228">
        <v>11000</v>
      </c>
      <c r="E228" t="s">
        <v>8</v>
      </c>
      <c r="F228" t="s">
        <v>9</v>
      </c>
    </row>
    <row r="229" spans="1:6" x14ac:dyDescent="0.25">
      <c r="A229">
        <v>228</v>
      </c>
      <c r="B229" t="s">
        <v>275</v>
      </c>
      <c r="C229" t="s">
        <v>471</v>
      </c>
      <c r="D229">
        <v>5000</v>
      </c>
      <c r="E229" t="s">
        <v>8</v>
      </c>
      <c r="F229" t="s">
        <v>9</v>
      </c>
    </row>
    <row r="230" spans="1:6" x14ac:dyDescent="0.25">
      <c r="A230">
        <v>229</v>
      </c>
      <c r="B230" t="s">
        <v>316</v>
      </c>
      <c r="C230" t="s">
        <v>460</v>
      </c>
      <c r="D230">
        <v>22300</v>
      </c>
      <c r="E230" t="s">
        <v>8</v>
      </c>
      <c r="F230" t="s">
        <v>9</v>
      </c>
    </row>
    <row r="231" spans="1:6" x14ac:dyDescent="0.25">
      <c r="A231">
        <v>230</v>
      </c>
      <c r="B231" t="s">
        <v>329</v>
      </c>
      <c r="C231" t="s">
        <v>461</v>
      </c>
      <c r="D231">
        <v>16500</v>
      </c>
      <c r="E231" t="s">
        <v>8</v>
      </c>
      <c r="F231" t="s">
        <v>9</v>
      </c>
    </row>
    <row r="232" spans="1:6" x14ac:dyDescent="0.25">
      <c r="A232">
        <v>231</v>
      </c>
      <c r="B232" t="s">
        <v>374</v>
      </c>
      <c r="C232" t="s">
        <v>462</v>
      </c>
      <c r="D232">
        <v>19500</v>
      </c>
      <c r="E232" t="s">
        <v>8</v>
      </c>
      <c r="F232" t="s">
        <v>9</v>
      </c>
    </row>
    <row r="233" spans="1:6" x14ac:dyDescent="0.25">
      <c r="A233">
        <v>232</v>
      </c>
      <c r="B233" t="s">
        <v>174</v>
      </c>
      <c r="C233" t="s">
        <v>463</v>
      </c>
      <c r="D233">
        <v>31100</v>
      </c>
      <c r="E233" t="s">
        <v>23</v>
      </c>
      <c r="F233" t="s">
        <v>9</v>
      </c>
    </row>
    <row r="234" spans="1:6" x14ac:dyDescent="0.25">
      <c r="A234">
        <v>233</v>
      </c>
      <c r="B234" t="s">
        <v>83</v>
      </c>
      <c r="C234" t="s">
        <v>464</v>
      </c>
      <c r="D234">
        <v>32700</v>
      </c>
      <c r="E234" t="s">
        <v>8</v>
      </c>
      <c r="F234" t="s">
        <v>9</v>
      </c>
    </row>
    <row r="235" spans="1:6" x14ac:dyDescent="0.25">
      <c r="A235">
        <v>234</v>
      </c>
      <c r="B235" t="s">
        <v>171</v>
      </c>
      <c r="C235" t="s">
        <v>465</v>
      </c>
      <c r="D235">
        <v>5200</v>
      </c>
      <c r="E235" t="s">
        <v>23</v>
      </c>
      <c r="F235" t="s">
        <v>9</v>
      </c>
    </row>
    <row r="236" spans="1:6" x14ac:dyDescent="0.25">
      <c r="A236">
        <v>235</v>
      </c>
      <c r="B236" t="s">
        <v>106</v>
      </c>
      <c r="C236" t="s">
        <v>466</v>
      </c>
      <c r="D236">
        <v>0</v>
      </c>
      <c r="E236" t="s">
        <v>8</v>
      </c>
      <c r="F236" t="s">
        <v>9</v>
      </c>
    </row>
    <row r="237" spans="1:6" x14ac:dyDescent="0.25">
      <c r="A237">
        <v>236</v>
      </c>
      <c r="B237" t="s">
        <v>147</v>
      </c>
      <c r="C237" t="s">
        <v>467</v>
      </c>
      <c r="D237">
        <v>12500</v>
      </c>
      <c r="E237" t="s">
        <v>8</v>
      </c>
      <c r="F237" t="s">
        <v>9</v>
      </c>
    </row>
    <row r="238" spans="1:6" x14ac:dyDescent="0.25">
      <c r="A238">
        <v>237</v>
      </c>
      <c r="B238" t="s">
        <v>178</v>
      </c>
      <c r="C238" t="s">
        <v>468</v>
      </c>
      <c r="D238">
        <v>60900</v>
      </c>
      <c r="E238" t="s">
        <v>8</v>
      </c>
      <c r="F238" t="s">
        <v>9</v>
      </c>
    </row>
    <row r="239" spans="1:6" x14ac:dyDescent="0.25">
      <c r="A239">
        <v>238</v>
      </c>
      <c r="B239" t="s">
        <v>263</v>
      </c>
      <c r="C239" t="s">
        <v>469</v>
      </c>
      <c r="D239">
        <v>24400</v>
      </c>
      <c r="E239" t="s">
        <v>8</v>
      </c>
      <c r="F239" t="s">
        <v>9</v>
      </c>
    </row>
    <row r="240" spans="1:6" x14ac:dyDescent="0.25">
      <c r="A240">
        <v>239</v>
      </c>
      <c r="B240" t="s">
        <v>137</v>
      </c>
      <c r="C240" t="s">
        <v>470</v>
      </c>
      <c r="D240">
        <v>61600</v>
      </c>
      <c r="E240" t="s">
        <v>8</v>
      </c>
      <c r="F240" t="s">
        <v>9</v>
      </c>
    </row>
    <row r="241" spans="1:6" x14ac:dyDescent="0.25">
      <c r="A241">
        <v>240</v>
      </c>
      <c r="B241" t="s">
        <v>232</v>
      </c>
      <c r="C241" t="s">
        <v>471</v>
      </c>
      <c r="D241">
        <v>11600</v>
      </c>
      <c r="E241" t="s">
        <v>8</v>
      </c>
      <c r="F241" t="s">
        <v>9</v>
      </c>
    </row>
    <row r="242" spans="1:6" x14ac:dyDescent="0.25">
      <c r="A242">
        <v>241</v>
      </c>
      <c r="B242" t="s">
        <v>355</v>
      </c>
      <c r="C242" t="s">
        <v>460</v>
      </c>
      <c r="D242">
        <v>40800</v>
      </c>
      <c r="E242" t="s">
        <v>8</v>
      </c>
      <c r="F242" t="s">
        <v>9</v>
      </c>
    </row>
    <row r="243" spans="1:6" x14ac:dyDescent="0.25">
      <c r="A243">
        <v>242</v>
      </c>
      <c r="B243" t="s">
        <v>166</v>
      </c>
      <c r="C243" t="s">
        <v>461</v>
      </c>
      <c r="D243">
        <v>44100</v>
      </c>
      <c r="E243" t="s">
        <v>8</v>
      </c>
      <c r="F243" t="s">
        <v>9</v>
      </c>
    </row>
    <row r="244" spans="1:6" x14ac:dyDescent="0.25">
      <c r="A244">
        <v>243</v>
      </c>
      <c r="B244" t="s">
        <v>141</v>
      </c>
      <c r="C244" t="s">
        <v>462</v>
      </c>
      <c r="D244">
        <v>26100</v>
      </c>
      <c r="E244" t="s">
        <v>38</v>
      </c>
      <c r="F244" t="s">
        <v>20</v>
      </c>
    </row>
    <row r="245" spans="1:6" x14ac:dyDescent="0.25">
      <c r="A245">
        <v>244</v>
      </c>
      <c r="B245" t="s">
        <v>313</v>
      </c>
      <c r="C245" t="s">
        <v>463</v>
      </c>
      <c r="D245">
        <v>24500</v>
      </c>
      <c r="E245" t="s">
        <v>8</v>
      </c>
      <c r="F245" t="s">
        <v>9</v>
      </c>
    </row>
    <row r="246" spans="1:6" x14ac:dyDescent="0.25">
      <c r="A246">
        <v>245</v>
      </c>
      <c r="B246" t="s">
        <v>133</v>
      </c>
      <c r="C246" t="s">
        <v>464</v>
      </c>
      <c r="D246">
        <v>19400</v>
      </c>
      <c r="E246" t="s">
        <v>8</v>
      </c>
      <c r="F246" t="s">
        <v>9</v>
      </c>
    </row>
    <row r="247" spans="1:6" x14ac:dyDescent="0.25">
      <c r="A247">
        <v>246</v>
      </c>
      <c r="B247" t="s">
        <v>91</v>
      </c>
      <c r="C247" t="s">
        <v>465</v>
      </c>
      <c r="D247">
        <v>12400</v>
      </c>
      <c r="E247" t="s">
        <v>23</v>
      </c>
      <c r="F247" t="s">
        <v>9</v>
      </c>
    </row>
    <row r="248" spans="1:6" x14ac:dyDescent="0.25">
      <c r="A248">
        <v>247</v>
      </c>
      <c r="B248" t="s">
        <v>26</v>
      </c>
      <c r="C248" t="s">
        <v>466</v>
      </c>
      <c r="D248">
        <v>11900</v>
      </c>
      <c r="E248" t="s">
        <v>8</v>
      </c>
      <c r="F248" t="s">
        <v>9</v>
      </c>
    </row>
    <row r="249" spans="1:6" x14ac:dyDescent="0.25">
      <c r="A249">
        <v>248</v>
      </c>
      <c r="B249" t="s">
        <v>275</v>
      </c>
      <c r="C249" t="s">
        <v>467</v>
      </c>
      <c r="D249">
        <v>41300</v>
      </c>
      <c r="E249" t="s">
        <v>8</v>
      </c>
      <c r="F249" t="s">
        <v>9</v>
      </c>
    </row>
    <row r="250" spans="1:6" x14ac:dyDescent="0.25">
      <c r="A250">
        <v>249</v>
      </c>
      <c r="B250" t="s">
        <v>176</v>
      </c>
      <c r="C250" t="s">
        <v>468</v>
      </c>
      <c r="D250">
        <v>96500</v>
      </c>
      <c r="E250" t="s">
        <v>8</v>
      </c>
      <c r="F250" t="s">
        <v>9</v>
      </c>
    </row>
    <row r="251" spans="1:6" x14ac:dyDescent="0.25">
      <c r="A251">
        <v>250</v>
      </c>
      <c r="B251" t="s">
        <v>352</v>
      </c>
      <c r="C251" t="s">
        <v>469</v>
      </c>
      <c r="D251">
        <v>138800</v>
      </c>
      <c r="E251" t="s">
        <v>8</v>
      </c>
      <c r="F251" t="s">
        <v>20</v>
      </c>
    </row>
    <row r="252" spans="1:6" x14ac:dyDescent="0.25">
      <c r="A252">
        <v>251</v>
      </c>
      <c r="B252" t="s">
        <v>398</v>
      </c>
      <c r="C252" t="s">
        <v>464</v>
      </c>
      <c r="D252">
        <v>410000</v>
      </c>
      <c r="E252" t="s">
        <v>8</v>
      </c>
      <c r="F252" t="s">
        <v>9</v>
      </c>
    </row>
    <row r="253" spans="1:6" x14ac:dyDescent="0.25">
      <c r="A253">
        <v>252</v>
      </c>
      <c r="B253" t="s">
        <v>350</v>
      </c>
      <c r="C253" t="s">
        <v>471</v>
      </c>
      <c r="D253">
        <v>87800</v>
      </c>
      <c r="E253" t="s">
        <v>8</v>
      </c>
      <c r="F253" t="s">
        <v>9</v>
      </c>
    </row>
    <row r="254" spans="1:6" x14ac:dyDescent="0.25">
      <c r="A254">
        <v>253</v>
      </c>
      <c r="B254" t="s">
        <v>147</v>
      </c>
      <c r="C254" t="s">
        <v>460</v>
      </c>
      <c r="D254">
        <v>14600</v>
      </c>
      <c r="E254" t="s">
        <v>8</v>
      </c>
      <c r="F254" t="s">
        <v>9</v>
      </c>
    </row>
    <row r="255" spans="1:6" x14ac:dyDescent="0.25">
      <c r="A255">
        <v>254</v>
      </c>
      <c r="B255" t="s">
        <v>363</v>
      </c>
      <c r="C255" t="s">
        <v>461</v>
      </c>
      <c r="D255">
        <v>25300</v>
      </c>
      <c r="E255" t="s">
        <v>23</v>
      </c>
      <c r="F255" t="s">
        <v>9</v>
      </c>
    </row>
    <row r="256" spans="1:6" x14ac:dyDescent="0.25">
      <c r="A256">
        <v>255</v>
      </c>
      <c r="B256" t="s">
        <v>320</v>
      </c>
      <c r="C256" t="s">
        <v>462</v>
      </c>
      <c r="D256">
        <v>268100</v>
      </c>
      <c r="E256" t="s">
        <v>8</v>
      </c>
      <c r="F256" t="s">
        <v>9</v>
      </c>
    </row>
    <row r="257" spans="1:6" x14ac:dyDescent="0.25">
      <c r="A257">
        <v>256</v>
      </c>
      <c r="B257" t="s">
        <v>87</v>
      </c>
      <c r="C257" t="s">
        <v>465</v>
      </c>
      <c r="D257">
        <v>0</v>
      </c>
      <c r="E257" t="s">
        <v>8</v>
      </c>
      <c r="F257" t="s">
        <v>9</v>
      </c>
    </row>
    <row r="258" spans="1:6" x14ac:dyDescent="0.25">
      <c r="A258">
        <v>257</v>
      </c>
      <c r="B258" t="s">
        <v>277</v>
      </c>
      <c r="C258" t="s">
        <v>464</v>
      </c>
      <c r="D258">
        <v>18100</v>
      </c>
      <c r="E258" t="s">
        <v>8</v>
      </c>
      <c r="F258" t="s">
        <v>9</v>
      </c>
    </row>
    <row r="259" spans="1:6" x14ac:dyDescent="0.25">
      <c r="A259">
        <v>258</v>
      </c>
      <c r="B259" t="s">
        <v>212</v>
      </c>
      <c r="C259" t="s">
        <v>465</v>
      </c>
      <c r="D259">
        <v>16800</v>
      </c>
      <c r="E259" t="s">
        <v>23</v>
      </c>
      <c r="F259" t="s">
        <v>9</v>
      </c>
    </row>
    <row r="260" spans="1:6" x14ac:dyDescent="0.25">
      <c r="A260">
        <v>259</v>
      </c>
      <c r="B260" t="s">
        <v>280</v>
      </c>
      <c r="C260" t="s">
        <v>466</v>
      </c>
      <c r="D260">
        <v>67000</v>
      </c>
      <c r="E260" t="s">
        <v>8</v>
      </c>
      <c r="F260" t="s">
        <v>9</v>
      </c>
    </row>
    <row r="261" spans="1:6" x14ac:dyDescent="0.25">
      <c r="A261">
        <v>260</v>
      </c>
      <c r="B261" t="s">
        <v>138</v>
      </c>
      <c r="C261" t="s">
        <v>467</v>
      </c>
      <c r="D261">
        <v>41400</v>
      </c>
      <c r="E261" t="s">
        <v>23</v>
      </c>
      <c r="F261" t="s">
        <v>9</v>
      </c>
    </row>
    <row r="262" spans="1:6" x14ac:dyDescent="0.25">
      <c r="A262">
        <v>261</v>
      </c>
      <c r="B262" t="s">
        <v>255</v>
      </c>
      <c r="C262" t="s">
        <v>468</v>
      </c>
      <c r="D262">
        <v>13900</v>
      </c>
      <c r="E262" t="s">
        <v>8</v>
      </c>
      <c r="F262" t="s">
        <v>9</v>
      </c>
    </row>
    <row r="263" spans="1:6" x14ac:dyDescent="0.25">
      <c r="A263">
        <v>262</v>
      </c>
      <c r="B263" t="s">
        <v>104</v>
      </c>
      <c r="C263" t="s">
        <v>469</v>
      </c>
      <c r="D263">
        <v>26000</v>
      </c>
      <c r="E263" t="s">
        <v>8</v>
      </c>
      <c r="F263" t="s">
        <v>9</v>
      </c>
    </row>
    <row r="264" spans="1:6" x14ac:dyDescent="0.25">
      <c r="A264">
        <v>263</v>
      </c>
      <c r="B264" t="s">
        <v>57</v>
      </c>
      <c r="C264" t="s">
        <v>470</v>
      </c>
      <c r="D264">
        <v>76000</v>
      </c>
      <c r="E264" t="s">
        <v>8</v>
      </c>
      <c r="F264" t="s">
        <v>9</v>
      </c>
    </row>
    <row r="265" spans="1:6" x14ac:dyDescent="0.25">
      <c r="A265">
        <v>264</v>
      </c>
      <c r="B265" t="s">
        <v>394</v>
      </c>
      <c r="C265" t="s">
        <v>471</v>
      </c>
      <c r="D265">
        <v>112300</v>
      </c>
      <c r="E265" t="s">
        <v>8</v>
      </c>
      <c r="F265" t="s">
        <v>9</v>
      </c>
    </row>
    <row r="266" spans="1:6" x14ac:dyDescent="0.25">
      <c r="A266">
        <v>265</v>
      </c>
      <c r="B266" t="s">
        <v>242</v>
      </c>
      <c r="C266" t="s">
        <v>460</v>
      </c>
      <c r="D266">
        <v>30100</v>
      </c>
      <c r="E266" t="s">
        <v>8</v>
      </c>
      <c r="F266" t="s">
        <v>9</v>
      </c>
    </row>
    <row r="267" spans="1:6" x14ac:dyDescent="0.25">
      <c r="A267">
        <v>266</v>
      </c>
      <c r="B267" t="s">
        <v>232</v>
      </c>
      <c r="C267" t="s">
        <v>461</v>
      </c>
      <c r="D267">
        <v>22500</v>
      </c>
      <c r="E267" t="s">
        <v>8</v>
      </c>
      <c r="F267" t="s">
        <v>9</v>
      </c>
    </row>
    <row r="268" spans="1:6" x14ac:dyDescent="0.25">
      <c r="A268">
        <v>267</v>
      </c>
      <c r="B268" t="s">
        <v>124</v>
      </c>
      <c r="C268" t="s">
        <v>462</v>
      </c>
      <c r="D268">
        <v>11300</v>
      </c>
      <c r="E268" t="s">
        <v>38</v>
      </c>
      <c r="F268" t="s">
        <v>20</v>
      </c>
    </row>
    <row r="269" spans="1:6" x14ac:dyDescent="0.25">
      <c r="A269">
        <v>268</v>
      </c>
      <c r="B269" t="s">
        <v>48</v>
      </c>
      <c r="C269" t="s">
        <v>463</v>
      </c>
      <c r="D269">
        <v>361700</v>
      </c>
      <c r="E269" t="s">
        <v>23</v>
      </c>
      <c r="F269" t="s">
        <v>9</v>
      </c>
    </row>
    <row r="270" spans="1:6" x14ac:dyDescent="0.25">
      <c r="A270">
        <v>269</v>
      </c>
      <c r="B270" t="s">
        <v>360</v>
      </c>
      <c r="C270" t="s">
        <v>464</v>
      </c>
      <c r="D270">
        <v>14300</v>
      </c>
      <c r="E270" t="s">
        <v>38</v>
      </c>
      <c r="F270" t="s">
        <v>20</v>
      </c>
    </row>
    <row r="271" spans="1:6" x14ac:dyDescent="0.25">
      <c r="A271">
        <v>270</v>
      </c>
      <c r="B271" t="s">
        <v>339</v>
      </c>
      <c r="C271" t="s">
        <v>465</v>
      </c>
      <c r="D271">
        <v>95700</v>
      </c>
      <c r="E271" t="s">
        <v>8</v>
      </c>
      <c r="F271" t="s">
        <v>9</v>
      </c>
    </row>
    <row r="272" spans="1:6" x14ac:dyDescent="0.25">
      <c r="A272">
        <v>271</v>
      </c>
      <c r="B272" t="s">
        <v>240</v>
      </c>
      <c r="C272" t="s">
        <v>466</v>
      </c>
      <c r="D272">
        <v>36400</v>
      </c>
      <c r="E272" t="s">
        <v>23</v>
      </c>
      <c r="F272" t="s">
        <v>9</v>
      </c>
    </row>
    <row r="273" spans="1:6" x14ac:dyDescent="0.25">
      <c r="A273">
        <v>272</v>
      </c>
      <c r="B273" t="s">
        <v>372</v>
      </c>
      <c r="C273" t="s">
        <v>467</v>
      </c>
      <c r="D273">
        <v>13400</v>
      </c>
      <c r="E273" t="s">
        <v>8</v>
      </c>
      <c r="F273" t="s">
        <v>9</v>
      </c>
    </row>
    <row r="274" spans="1:6" x14ac:dyDescent="0.25">
      <c r="A274">
        <v>273</v>
      </c>
      <c r="B274" t="s">
        <v>178</v>
      </c>
      <c r="C274" t="s">
        <v>468</v>
      </c>
      <c r="D274">
        <v>105000</v>
      </c>
      <c r="E274" t="s">
        <v>38</v>
      </c>
      <c r="F274" t="s">
        <v>20</v>
      </c>
    </row>
    <row r="275" spans="1:6" x14ac:dyDescent="0.25">
      <c r="A275">
        <v>274</v>
      </c>
      <c r="B275" t="s">
        <v>308</v>
      </c>
      <c r="C275" t="s">
        <v>469</v>
      </c>
      <c r="D275">
        <v>175100</v>
      </c>
      <c r="E275" t="s">
        <v>8</v>
      </c>
      <c r="F275" t="s">
        <v>9</v>
      </c>
    </row>
    <row r="276" spans="1:6" x14ac:dyDescent="0.25">
      <c r="A276">
        <v>275</v>
      </c>
      <c r="B276" t="s">
        <v>237</v>
      </c>
      <c r="C276" t="s">
        <v>470</v>
      </c>
      <c r="D276">
        <v>28600</v>
      </c>
      <c r="E276" t="s">
        <v>38</v>
      </c>
      <c r="F276" t="s">
        <v>20</v>
      </c>
    </row>
    <row r="277" spans="1:6" x14ac:dyDescent="0.25">
      <c r="A277">
        <v>276</v>
      </c>
      <c r="B277" t="s">
        <v>256</v>
      </c>
      <c r="C277" t="s">
        <v>471</v>
      </c>
      <c r="D277">
        <v>44300</v>
      </c>
      <c r="E277" t="s">
        <v>8</v>
      </c>
      <c r="F277" t="s">
        <v>9</v>
      </c>
    </row>
    <row r="278" spans="1:6" x14ac:dyDescent="0.25">
      <c r="A278">
        <v>277</v>
      </c>
      <c r="B278" t="s">
        <v>230</v>
      </c>
      <c r="C278" t="s">
        <v>460</v>
      </c>
      <c r="D278">
        <v>24100</v>
      </c>
      <c r="E278" t="s">
        <v>8</v>
      </c>
      <c r="F278" t="s">
        <v>20</v>
      </c>
    </row>
    <row r="279" spans="1:6" x14ac:dyDescent="0.25">
      <c r="A279">
        <v>278</v>
      </c>
      <c r="B279" t="s">
        <v>157</v>
      </c>
      <c r="C279" t="s">
        <v>461</v>
      </c>
      <c r="D279">
        <v>127700</v>
      </c>
      <c r="E279" t="s">
        <v>8</v>
      </c>
      <c r="F279" t="s">
        <v>9</v>
      </c>
    </row>
    <row r="280" spans="1:6" x14ac:dyDescent="0.25">
      <c r="A280">
        <v>279</v>
      </c>
      <c r="B280" t="s">
        <v>57</v>
      </c>
      <c r="C280" t="s">
        <v>462</v>
      </c>
      <c r="D280">
        <v>45700</v>
      </c>
      <c r="E280" t="s">
        <v>38</v>
      </c>
      <c r="F280" t="s">
        <v>20</v>
      </c>
    </row>
    <row r="281" spans="1:6" x14ac:dyDescent="0.25">
      <c r="A281">
        <v>280</v>
      </c>
      <c r="B281" t="s">
        <v>356</v>
      </c>
      <c r="C281" t="s">
        <v>463</v>
      </c>
      <c r="D281">
        <v>23300</v>
      </c>
      <c r="E281" t="s">
        <v>23</v>
      </c>
      <c r="F281" t="s">
        <v>9</v>
      </c>
    </row>
    <row r="282" spans="1:6" x14ac:dyDescent="0.25">
      <c r="A282">
        <v>281</v>
      </c>
      <c r="B282" t="s">
        <v>324</v>
      </c>
      <c r="C282" t="s">
        <v>464</v>
      </c>
      <c r="D282">
        <v>24000</v>
      </c>
      <c r="E282" t="s">
        <v>8</v>
      </c>
      <c r="F282" t="s">
        <v>9</v>
      </c>
    </row>
    <row r="283" spans="1:6" x14ac:dyDescent="0.25">
      <c r="A283">
        <v>282</v>
      </c>
      <c r="B283" t="s">
        <v>73</v>
      </c>
      <c r="C283" t="s">
        <v>465</v>
      </c>
      <c r="D283">
        <v>80100</v>
      </c>
      <c r="E283" t="s">
        <v>8</v>
      </c>
      <c r="F283" t="s">
        <v>9</v>
      </c>
    </row>
    <row r="284" spans="1:6" x14ac:dyDescent="0.25">
      <c r="A284">
        <v>283</v>
      </c>
      <c r="B284" t="s">
        <v>18</v>
      </c>
      <c r="C284" t="s">
        <v>466</v>
      </c>
      <c r="D284">
        <v>91800</v>
      </c>
      <c r="E284" t="s">
        <v>8</v>
      </c>
      <c r="F284" t="s">
        <v>9</v>
      </c>
    </row>
    <row r="285" spans="1:6" x14ac:dyDescent="0.25">
      <c r="A285">
        <v>284</v>
      </c>
      <c r="B285" t="s">
        <v>289</v>
      </c>
      <c r="C285" t="s">
        <v>467</v>
      </c>
      <c r="D285">
        <v>73000</v>
      </c>
      <c r="E285" t="s">
        <v>23</v>
      </c>
      <c r="F285" t="s">
        <v>9</v>
      </c>
    </row>
    <row r="286" spans="1:6" x14ac:dyDescent="0.25">
      <c r="A286">
        <v>285</v>
      </c>
      <c r="B286" t="s">
        <v>175</v>
      </c>
      <c r="C286" t="s">
        <v>468</v>
      </c>
      <c r="D286">
        <v>37100</v>
      </c>
      <c r="E286" t="s">
        <v>8</v>
      </c>
      <c r="F286" t="s">
        <v>9</v>
      </c>
    </row>
    <row r="287" spans="1:6" x14ac:dyDescent="0.25">
      <c r="A287">
        <v>286</v>
      </c>
      <c r="B287" t="s">
        <v>84</v>
      </c>
      <c r="C287" t="s">
        <v>469</v>
      </c>
      <c r="D287">
        <v>108800</v>
      </c>
      <c r="E287" t="s">
        <v>8</v>
      </c>
      <c r="F287" t="s">
        <v>9</v>
      </c>
    </row>
    <row r="288" spans="1:6" x14ac:dyDescent="0.25">
      <c r="A288">
        <v>287</v>
      </c>
      <c r="B288" t="s">
        <v>32</v>
      </c>
      <c r="C288" t="s">
        <v>470</v>
      </c>
      <c r="D288">
        <v>16100</v>
      </c>
      <c r="E288" t="s">
        <v>8</v>
      </c>
      <c r="F288" t="s">
        <v>9</v>
      </c>
    </row>
    <row r="289" spans="1:6" x14ac:dyDescent="0.25">
      <c r="A289">
        <v>288</v>
      </c>
      <c r="B289" t="s">
        <v>189</v>
      </c>
      <c r="C289" t="s">
        <v>471</v>
      </c>
      <c r="D289">
        <v>10200</v>
      </c>
      <c r="E289" t="s">
        <v>8</v>
      </c>
      <c r="F289" t="s">
        <v>9</v>
      </c>
    </row>
    <row r="290" spans="1:6" x14ac:dyDescent="0.25">
      <c r="A290">
        <v>289</v>
      </c>
      <c r="B290" t="s">
        <v>73</v>
      </c>
      <c r="C290" t="s">
        <v>460</v>
      </c>
      <c r="D290">
        <v>14900</v>
      </c>
      <c r="E290" t="s">
        <v>8</v>
      </c>
      <c r="F290" t="s">
        <v>9</v>
      </c>
    </row>
    <row r="291" spans="1:6" x14ac:dyDescent="0.25">
      <c r="A291">
        <v>290</v>
      </c>
      <c r="B291" t="s">
        <v>26</v>
      </c>
      <c r="C291" t="s">
        <v>461</v>
      </c>
      <c r="D291">
        <v>10800</v>
      </c>
      <c r="E291" t="s">
        <v>23</v>
      </c>
      <c r="F291" t="s">
        <v>9</v>
      </c>
    </row>
    <row r="292" spans="1:6" x14ac:dyDescent="0.25">
      <c r="A292">
        <v>291</v>
      </c>
      <c r="B292" t="s">
        <v>111</v>
      </c>
      <c r="C292" t="s">
        <v>462</v>
      </c>
      <c r="D292">
        <v>31500</v>
      </c>
      <c r="E292" t="s">
        <v>38</v>
      </c>
      <c r="F292" t="s">
        <v>20</v>
      </c>
    </row>
    <row r="293" spans="1:6" x14ac:dyDescent="0.25">
      <c r="A293">
        <v>292</v>
      </c>
      <c r="B293" t="s">
        <v>95</v>
      </c>
      <c r="C293" t="s">
        <v>463</v>
      </c>
      <c r="D293">
        <v>22700</v>
      </c>
      <c r="E293" t="s">
        <v>8</v>
      </c>
      <c r="F293" t="s">
        <v>9</v>
      </c>
    </row>
    <row r="294" spans="1:6" x14ac:dyDescent="0.25">
      <c r="A294">
        <v>293</v>
      </c>
      <c r="B294" t="s">
        <v>234</v>
      </c>
      <c r="C294" t="s">
        <v>464</v>
      </c>
      <c r="D294">
        <v>45100</v>
      </c>
      <c r="E294" t="s">
        <v>38</v>
      </c>
      <c r="F294" t="s">
        <v>20</v>
      </c>
    </row>
    <row r="295" spans="1:6" x14ac:dyDescent="0.25">
      <c r="A295">
        <v>294</v>
      </c>
      <c r="B295" t="s">
        <v>352</v>
      </c>
      <c r="C295" t="s">
        <v>465</v>
      </c>
      <c r="D295">
        <v>9900</v>
      </c>
      <c r="E295" t="s">
        <v>38</v>
      </c>
      <c r="F295" t="s">
        <v>9</v>
      </c>
    </row>
    <row r="296" spans="1:6" x14ac:dyDescent="0.25">
      <c r="A296">
        <v>295</v>
      </c>
      <c r="B296" t="s">
        <v>270</v>
      </c>
      <c r="C296" t="s">
        <v>466</v>
      </c>
      <c r="D296">
        <v>31900</v>
      </c>
      <c r="E296" t="s">
        <v>8</v>
      </c>
      <c r="F296" t="s">
        <v>9</v>
      </c>
    </row>
    <row r="297" spans="1:6" x14ac:dyDescent="0.25">
      <c r="A297">
        <v>296</v>
      </c>
      <c r="B297" t="s">
        <v>58</v>
      </c>
      <c r="C297" t="s">
        <v>467</v>
      </c>
      <c r="D297">
        <v>25600</v>
      </c>
      <c r="E297" t="s">
        <v>38</v>
      </c>
      <c r="F297" t="s">
        <v>20</v>
      </c>
    </row>
    <row r="298" spans="1:6" x14ac:dyDescent="0.25">
      <c r="A298">
        <v>297</v>
      </c>
      <c r="B298" t="s">
        <v>91</v>
      </c>
      <c r="C298" t="s">
        <v>468</v>
      </c>
      <c r="D298">
        <v>122600</v>
      </c>
      <c r="E298" t="s">
        <v>8</v>
      </c>
      <c r="F298" t="s">
        <v>9</v>
      </c>
    </row>
    <row r="299" spans="1:6" x14ac:dyDescent="0.25">
      <c r="A299">
        <v>298</v>
      </c>
      <c r="B299" t="s">
        <v>88</v>
      </c>
      <c r="C299" t="s">
        <v>469</v>
      </c>
      <c r="D299">
        <v>195300</v>
      </c>
      <c r="E299" t="s">
        <v>8</v>
      </c>
      <c r="F299" t="s">
        <v>9</v>
      </c>
    </row>
    <row r="300" spans="1:6" x14ac:dyDescent="0.25">
      <c r="A300">
        <v>299</v>
      </c>
      <c r="B300" t="s">
        <v>243</v>
      </c>
      <c r="C300" t="s">
        <v>470</v>
      </c>
      <c r="D300">
        <v>9300</v>
      </c>
      <c r="E300" t="s">
        <v>8</v>
      </c>
      <c r="F300" t="s">
        <v>9</v>
      </c>
    </row>
    <row r="301" spans="1:6" x14ac:dyDescent="0.25">
      <c r="A301">
        <v>300</v>
      </c>
      <c r="B301" t="s">
        <v>364</v>
      </c>
      <c r="C301" t="s">
        <v>471</v>
      </c>
      <c r="D301">
        <v>134000</v>
      </c>
      <c r="E301" t="s">
        <v>38</v>
      </c>
      <c r="F301" t="s">
        <v>20</v>
      </c>
    </row>
    <row r="302" spans="1:6" x14ac:dyDescent="0.25">
      <c r="A302">
        <v>301</v>
      </c>
      <c r="B302" t="s">
        <v>348</v>
      </c>
      <c r="C302" t="s">
        <v>460</v>
      </c>
      <c r="D302">
        <v>24700</v>
      </c>
      <c r="E302" t="s">
        <v>8</v>
      </c>
      <c r="F302" t="s">
        <v>9</v>
      </c>
    </row>
    <row r="303" spans="1:6" x14ac:dyDescent="0.25">
      <c r="A303">
        <v>302</v>
      </c>
      <c r="B303" t="s">
        <v>99</v>
      </c>
      <c r="C303" t="s">
        <v>461</v>
      </c>
      <c r="D303">
        <v>23300</v>
      </c>
      <c r="E303" t="s">
        <v>23</v>
      </c>
      <c r="F303" t="s">
        <v>9</v>
      </c>
    </row>
    <row r="304" spans="1:6" x14ac:dyDescent="0.25">
      <c r="A304">
        <v>303</v>
      </c>
      <c r="B304" t="s">
        <v>43</v>
      </c>
      <c r="C304" t="s">
        <v>462</v>
      </c>
      <c r="D304">
        <v>84200</v>
      </c>
      <c r="E304" t="s">
        <v>38</v>
      </c>
      <c r="F304" t="s">
        <v>9</v>
      </c>
    </row>
    <row r="305" spans="1:6" x14ac:dyDescent="0.25">
      <c r="A305">
        <v>304</v>
      </c>
      <c r="B305" t="s">
        <v>110</v>
      </c>
      <c r="C305" t="s">
        <v>463</v>
      </c>
      <c r="D305">
        <v>17300</v>
      </c>
      <c r="E305" t="s">
        <v>8</v>
      </c>
      <c r="F305" t="s">
        <v>9</v>
      </c>
    </row>
    <row r="306" spans="1:6" x14ac:dyDescent="0.25">
      <c r="A306">
        <v>305</v>
      </c>
      <c r="B306" t="s">
        <v>163</v>
      </c>
      <c r="C306" t="s">
        <v>464</v>
      </c>
      <c r="D306">
        <v>65300</v>
      </c>
      <c r="E306" t="s">
        <v>8</v>
      </c>
      <c r="F306" t="s">
        <v>9</v>
      </c>
    </row>
    <row r="307" spans="1:6" x14ac:dyDescent="0.25">
      <c r="A307">
        <v>306</v>
      </c>
      <c r="B307" t="s">
        <v>249</v>
      </c>
      <c r="C307" t="s">
        <v>465</v>
      </c>
      <c r="D307">
        <v>69100</v>
      </c>
      <c r="E307" t="s">
        <v>8</v>
      </c>
      <c r="F307" t="s">
        <v>9</v>
      </c>
    </row>
    <row r="308" spans="1:6" x14ac:dyDescent="0.25">
      <c r="A308">
        <v>307</v>
      </c>
      <c r="B308" t="s">
        <v>400</v>
      </c>
      <c r="C308" t="s">
        <v>466</v>
      </c>
      <c r="D308">
        <v>5000</v>
      </c>
      <c r="E308" t="s">
        <v>23</v>
      </c>
      <c r="F308" t="s">
        <v>9</v>
      </c>
    </row>
    <row r="309" spans="1:6" x14ac:dyDescent="0.25">
      <c r="A309">
        <v>308</v>
      </c>
      <c r="B309" t="s">
        <v>261</v>
      </c>
      <c r="C309" t="s">
        <v>467</v>
      </c>
      <c r="D309">
        <v>15600</v>
      </c>
      <c r="E309" t="s">
        <v>8</v>
      </c>
      <c r="F309" t="s">
        <v>9</v>
      </c>
    </row>
    <row r="310" spans="1:6" x14ac:dyDescent="0.25">
      <c r="A310">
        <v>309</v>
      </c>
      <c r="B310" t="s">
        <v>141</v>
      </c>
      <c r="C310" t="s">
        <v>468</v>
      </c>
      <c r="D310">
        <v>84400</v>
      </c>
      <c r="E310" t="s">
        <v>8</v>
      </c>
      <c r="F310" t="s">
        <v>9</v>
      </c>
    </row>
    <row r="311" spans="1:6" x14ac:dyDescent="0.25">
      <c r="A311">
        <v>310</v>
      </c>
      <c r="B311" t="s">
        <v>203</v>
      </c>
      <c r="C311" t="s">
        <v>469</v>
      </c>
      <c r="D311">
        <v>13600</v>
      </c>
      <c r="E311" t="s">
        <v>8</v>
      </c>
      <c r="F311" t="s">
        <v>9</v>
      </c>
    </row>
    <row r="312" spans="1:6" x14ac:dyDescent="0.25">
      <c r="A312">
        <v>311</v>
      </c>
      <c r="B312" t="s">
        <v>99</v>
      </c>
      <c r="C312" t="s">
        <v>470</v>
      </c>
      <c r="D312">
        <v>5000</v>
      </c>
      <c r="E312" t="s">
        <v>38</v>
      </c>
      <c r="F312" t="s">
        <v>20</v>
      </c>
    </row>
    <row r="313" spans="1:6" x14ac:dyDescent="0.25">
      <c r="A313">
        <v>312</v>
      </c>
      <c r="B313" t="s">
        <v>149</v>
      </c>
      <c r="C313" t="s">
        <v>471</v>
      </c>
      <c r="D313">
        <v>65500</v>
      </c>
      <c r="E313" t="s">
        <v>38</v>
      </c>
      <c r="F313" t="s">
        <v>9</v>
      </c>
    </row>
    <row r="314" spans="1:6" x14ac:dyDescent="0.25">
      <c r="A314">
        <v>313</v>
      </c>
      <c r="B314" t="s">
        <v>127</v>
      </c>
      <c r="C314" t="s">
        <v>460</v>
      </c>
      <c r="D314">
        <v>111400</v>
      </c>
      <c r="E314" t="s">
        <v>8</v>
      </c>
      <c r="F314" t="s">
        <v>9</v>
      </c>
    </row>
    <row r="315" spans="1:6" x14ac:dyDescent="0.25">
      <c r="A315">
        <v>314</v>
      </c>
      <c r="B315" t="s">
        <v>220</v>
      </c>
      <c r="C315" t="s">
        <v>461</v>
      </c>
      <c r="D315">
        <v>29900</v>
      </c>
      <c r="E315" t="s">
        <v>8</v>
      </c>
      <c r="F315" t="s">
        <v>9</v>
      </c>
    </row>
    <row r="316" spans="1:6" x14ac:dyDescent="0.25">
      <c r="A316">
        <v>315</v>
      </c>
      <c r="B316" t="s">
        <v>175</v>
      </c>
      <c r="C316" t="s">
        <v>462</v>
      </c>
      <c r="D316">
        <v>48800</v>
      </c>
      <c r="E316" t="s">
        <v>38</v>
      </c>
      <c r="F316" t="s">
        <v>9</v>
      </c>
    </row>
    <row r="317" spans="1:6" x14ac:dyDescent="0.25">
      <c r="A317">
        <v>316</v>
      </c>
      <c r="B317" t="s">
        <v>316</v>
      </c>
      <c r="C317" t="s">
        <v>463</v>
      </c>
      <c r="D317">
        <v>41500</v>
      </c>
      <c r="E317" t="s">
        <v>8</v>
      </c>
      <c r="F317" t="s">
        <v>9</v>
      </c>
    </row>
    <row r="318" spans="1:6" x14ac:dyDescent="0.25">
      <c r="A318">
        <v>317</v>
      </c>
      <c r="B318" t="s">
        <v>250</v>
      </c>
      <c r="C318" t="s">
        <v>464</v>
      </c>
      <c r="D318">
        <v>119000</v>
      </c>
      <c r="E318" t="s">
        <v>8</v>
      </c>
      <c r="F318" t="s">
        <v>9</v>
      </c>
    </row>
    <row r="319" spans="1:6" x14ac:dyDescent="0.25">
      <c r="A319">
        <v>318</v>
      </c>
      <c r="B319" t="s">
        <v>63</v>
      </c>
      <c r="C319" t="s">
        <v>465</v>
      </c>
      <c r="D319">
        <v>17400</v>
      </c>
      <c r="E319" t="s">
        <v>8</v>
      </c>
      <c r="F319" t="s">
        <v>9</v>
      </c>
    </row>
    <row r="320" spans="1:6" x14ac:dyDescent="0.25">
      <c r="A320">
        <v>319</v>
      </c>
      <c r="B320" t="s">
        <v>130</v>
      </c>
      <c r="C320" t="s">
        <v>466</v>
      </c>
      <c r="D320">
        <v>167900</v>
      </c>
      <c r="E320" t="s">
        <v>8</v>
      </c>
      <c r="F320" t="s">
        <v>9</v>
      </c>
    </row>
    <row r="321" spans="1:6" x14ac:dyDescent="0.25">
      <c r="A321">
        <v>320</v>
      </c>
      <c r="B321" t="s">
        <v>76</v>
      </c>
      <c r="C321" t="s">
        <v>467</v>
      </c>
      <c r="D321">
        <v>313000</v>
      </c>
      <c r="E321" t="s">
        <v>8</v>
      </c>
      <c r="F321" t="s">
        <v>9</v>
      </c>
    </row>
    <row r="322" spans="1:6" x14ac:dyDescent="0.25">
      <c r="A322">
        <v>321</v>
      </c>
      <c r="B322" t="s">
        <v>127</v>
      </c>
      <c r="C322" t="s">
        <v>468</v>
      </c>
      <c r="D322">
        <v>54000</v>
      </c>
      <c r="E322" t="s">
        <v>8</v>
      </c>
      <c r="F322" t="s">
        <v>20</v>
      </c>
    </row>
    <row r="323" spans="1:6" x14ac:dyDescent="0.25">
      <c r="A323">
        <v>322</v>
      </c>
      <c r="B323" t="s">
        <v>192</v>
      </c>
      <c r="C323" t="s">
        <v>469</v>
      </c>
      <c r="D323">
        <v>8200</v>
      </c>
      <c r="E323" t="s">
        <v>8</v>
      </c>
      <c r="F323" t="s">
        <v>9</v>
      </c>
    </row>
    <row r="324" spans="1:6" x14ac:dyDescent="0.25">
      <c r="A324">
        <v>323</v>
      </c>
      <c r="B324" t="s">
        <v>188</v>
      </c>
      <c r="C324" t="s">
        <v>470</v>
      </c>
      <c r="D324">
        <v>10200</v>
      </c>
      <c r="E324" t="s">
        <v>23</v>
      </c>
      <c r="F324" t="s">
        <v>9</v>
      </c>
    </row>
    <row r="325" spans="1:6" x14ac:dyDescent="0.25">
      <c r="A325">
        <v>324</v>
      </c>
      <c r="B325" t="s">
        <v>191</v>
      </c>
      <c r="C325" t="s">
        <v>471</v>
      </c>
      <c r="D325">
        <v>22400</v>
      </c>
      <c r="E325" t="s">
        <v>8</v>
      </c>
      <c r="F325" t="s">
        <v>9</v>
      </c>
    </row>
    <row r="326" spans="1:6" x14ac:dyDescent="0.25">
      <c r="A326">
        <v>325</v>
      </c>
      <c r="B326" t="s">
        <v>160</v>
      </c>
      <c r="C326" t="s">
        <v>460</v>
      </c>
      <c r="D326">
        <v>111900</v>
      </c>
      <c r="E326" t="s">
        <v>8</v>
      </c>
      <c r="F326" t="s">
        <v>20</v>
      </c>
    </row>
    <row r="327" spans="1:6" x14ac:dyDescent="0.25">
      <c r="A327">
        <v>326</v>
      </c>
      <c r="B327" t="s">
        <v>316</v>
      </c>
      <c r="C327" t="s">
        <v>461</v>
      </c>
      <c r="D327">
        <v>25400</v>
      </c>
      <c r="E327" t="s">
        <v>38</v>
      </c>
      <c r="F327" t="s">
        <v>20</v>
      </c>
    </row>
    <row r="328" spans="1:6" x14ac:dyDescent="0.25">
      <c r="A328">
        <v>327</v>
      </c>
      <c r="B328" t="s">
        <v>400</v>
      </c>
      <c r="C328" t="s">
        <v>462</v>
      </c>
      <c r="D328">
        <v>49900</v>
      </c>
      <c r="E328" t="s">
        <v>8</v>
      </c>
      <c r="F328" t="s">
        <v>20</v>
      </c>
    </row>
    <row r="329" spans="1:6" x14ac:dyDescent="0.25">
      <c r="A329">
        <v>328</v>
      </c>
      <c r="B329" t="s">
        <v>328</v>
      </c>
      <c r="C329" t="s">
        <v>463</v>
      </c>
      <c r="D329">
        <v>41600</v>
      </c>
      <c r="E329" t="s">
        <v>8</v>
      </c>
      <c r="F329" t="s">
        <v>20</v>
      </c>
    </row>
    <row r="330" spans="1:6" x14ac:dyDescent="0.25">
      <c r="A330">
        <v>329</v>
      </c>
      <c r="B330" t="s">
        <v>351</v>
      </c>
      <c r="C330" t="s">
        <v>464</v>
      </c>
      <c r="D330">
        <v>26900</v>
      </c>
      <c r="E330" t="s">
        <v>38</v>
      </c>
      <c r="F330" t="s">
        <v>20</v>
      </c>
    </row>
    <row r="331" spans="1:6" x14ac:dyDescent="0.25">
      <c r="A331">
        <v>330</v>
      </c>
      <c r="B331" t="s">
        <v>419</v>
      </c>
      <c r="C331" t="s">
        <v>465</v>
      </c>
      <c r="D331">
        <v>80300</v>
      </c>
      <c r="E331" t="s">
        <v>8</v>
      </c>
      <c r="F331" t="s">
        <v>20</v>
      </c>
    </row>
    <row r="332" spans="1:6" x14ac:dyDescent="0.25">
      <c r="A332">
        <v>331</v>
      </c>
      <c r="B332" t="s">
        <v>68</v>
      </c>
      <c r="C332" t="s">
        <v>466</v>
      </c>
      <c r="D332">
        <v>93900</v>
      </c>
      <c r="E332" t="s">
        <v>8</v>
      </c>
      <c r="F332" t="s">
        <v>9</v>
      </c>
    </row>
    <row r="333" spans="1:6" x14ac:dyDescent="0.25">
      <c r="A333">
        <v>332</v>
      </c>
      <c r="B333" t="s">
        <v>84</v>
      </c>
      <c r="C333" t="s">
        <v>467</v>
      </c>
      <c r="D333">
        <v>65600</v>
      </c>
      <c r="E333" t="s">
        <v>8</v>
      </c>
      <c r="F333" t="s">
        <v>9</v>
      </c>
    </row>
    <row r="334" spans="1:6" x14ac:dyDescent="0.25">
      <c r="A334">
        <v>333</v>
      </c>
      <c r="B334" t="s">
        <v>168</v>
      </c>
      <c r="C334" t="s">
        <v>468</v>
      </c>
      <c r="D334">
        <v>62300</v>
      </c>
      <c r="E334" t="s">
        <v>8</v>
      </c>
      <c r="F334" t="s">
        <v>9</v>
      </c>
    </row>
    <row r="335" spans="1:6" x14ac:dyDescent="0.25">
      <c r="A335">
        <v>334</v>
      </c>
      <c r="B335" t="s">
        <v>105</v>
      </c>
      <c r="C335" t="s">
        <v>469</v>
      </c>
      <c r="D335">
        <v>43600</v>
      </c>
      <c r="E335" t="s">
        <v>8</v>
      </c>
      <c r="F335" t="s">
        <v>9</v>
      </c>
    </row>
    <row r="336" spans="1:6" x14ac:dyDescent="0.25">
      <c r="A336">
        <v>335</v>
      </c>
      <c r="B336" t="s">
        <v>113</v>
      </c>
      <c r="C336" t="s">
        <v>470</v>
      </c>
      <c r="D336">
        <v>56500</v>
      </c>
      <c r="E336" t="s">
        <v>8</v>
      </c>
      <c r="F336" t="s">
        <v>9</v>
      </c>
    </row>
    <row r="337" spans="1:6" x14ac:dyDescent="0.25">
      <c r="A337">
        <v>336</v>
      </c>
      <c r="B337" t="s">
        <v>354</v>
      </c>
      <c r="C337" t="s">
        <v>471</v>
      </c>
      <c r="D337">
        <v>66800</v>
      </c>
      <c r="E337" t="s">
        <v>8</v>
      </c>
      <c r="F337" t="s">
        <v>9</v>
      </c>
    </row>
    <row r="338" spans="1:6" x14ac:dyDescent="0.25">
      <c r="A338">
        <v>337</v>
      </c>
      <c r="B338" t="s">
        <v>241</v>
      </c>
      <c r="C338" t="s">
        <v>460</v>
      </c>
      <c r="D338">
        <v>11500</v>
      </c>
      <c r="E338" t="s">
        <v>8</v>
      </c>
      <c r="F338" t="s">
        <v>9</v>
      </c>
    </row>
    <row r="339" spans="1:6" x14ac:dyDescent="0.25">
      <c r="A339">
        <v>338</v>
      </c>
      <c r="B339" t="s">
        <v>168</v>
      </c>
      <c r="C339" t="s">
        <v>461</v>
      </c>
      <c r="D339">
        <v>45600</v>
      </c>
      <c r="E339" t="s">
        <v>38</v>
      </c>
      <c r="F339" t="s">
        <v>20</v>
      </c>
    </row>
    <row r="340" spans="1:6" x14ac:dyDescent="0.25">
      <c r="A340">
        <v>339</v>
      </c>
      <c r="B340" t="s">
        <v>177</v>
      </c>
      <c r="C340" t="s">
        <v>462</v>
      </c>
      <c r="D340">
        <v>10400</v>
      </c>
      <c r="E340" t="s">
        <v>8</v>
      </c>
      <c r="F340" t="s">
        <v>9</v>
      </c>
    </row>
    <row r="341" spans="1:6" x14ac:dyDescent="0.25">
      <c r="A341">
        <v>340</v>
      </c>
      <c r="B341" t="s">
        <v>344</v>
      </c>
      <c r="C341" t="s">
        <v>463</v>
      </c>
      <c r="D341">
        <v>33200</v>
      </c>
      <c r="E341" t="s">
        <v>8</v>
      </c>
      <c r="F341" t="s">
        <v>9</v>
      </c>
    </row>
    <row r="342" spans="1:6" x14ac:dyDescent="0.25">
      <c r="A342">
        <v>341</v>
      </c>
      <c r="B342" t="s">
        <v>71</v>
      </c>
      <c r="C342" t="s">
        <v>464</v>
      </c>
      <c r="D342">
        <v>24800</v>
      </c>
      <c r="E342" t="s">
        <v>8</v>
      </c>
      <c r="F342" t="s">
        <v>9</v>
      </c>
    </row>
    <row r="343" spans="1:6" x14ac:dyDescent="0.25">
      <c r="A343">
        <v>342</v>
      </c>
      <c r="B343" t="s">
        <v>114</v>
      </c>
      <c r="C343" t="s">
        <v>465</v>
      </c>
      <c r="D343">
        <v>57700</v>
      </c>
      <c r="E343" t="s">
        <v>8</v>
      </c>
      <c r="F343" t="s">
        <v>9</v>
      </c>
    </row>
    <row r="344" spans="1:6" x14ac:dyDescent="0.25">
      <c r="A344">
        <v>343</v>
      </c>
      <c r="B344" t="s">
        <v>225</v>
      </c>
      <c r="C344" t="s">
        <v>466</v>
      </c>
      <c r="D344">
        <v>24700</v>
      </c>
      <c r="E344" t="s">
        <v>38</v>
      </c>
      <c r="F344" t="s">
        <v>20</v>
      </c>
    </row>
    <row r="345" spans="1:6" x14ac:dyDescent="0.25">
      <c r="A345">
        <v>344</v>
      </c>
      <c r="B345" t="s">
        <v>290</v>
      </c>
      <c r="C345" t="s">
        <v>467</v>
      </c>
      <c r="D345">
        <v>28600</v>
      </c>
      <c r="E345" t="s">
        <v>38</v>
      </c>
      <c r="F345" t="s">
        <v>20</v>
      </c>
    </row>
    <row r="346" spans="1:6" x14ac:dyDescent="0.25">
      <c r="A346">
        <v>345</v>
      </c>
      <c r="B346" t="s">
        <v>183</v>
      </c>
      <c r="C346" t="s">
        <v>468</v>
      </c>
      <c r="D346">
        <v>25300</v>
      </c>
      <c r="E346" t="s">
        <v>8</v>
      </c>
      <c r="F346" t="s">
        <v>9</v>
      </c>
    </row>
    <row r="347" spans="1:6" x14ac:dyDescent="0.25">
      <c r="A347">
        <v>346</v>
      </c>
      <c r="B347" t="s">
        <v>234</v>
      </c>
      <c r="C347" t="s">
        <v>469</v>
      </c>
      <c r="D347">
        <v>23700</v>
      </c>
      <c r="E347" t="s">
        <v>8</v>
      </c>
      <c r="F347" t="s">
        <v>9</v>
      </c>
    </row>
    <row r="348" spans="1:6" x14ac:dyDescent="0.25">
      <c r="A348">
        <v>347</v>
      </c>
      <c r="B348" t="s">
        <v>254</v>
      </c>
      <c r="C348" t="s">
        <v>470</v>
      </c>
      <c r="D348">
        <v>69100</v>
      </c>
      <c r="E348" t="s">
        <v>8</v>
      </c>
      <c r="F348" t="s">
        <v>9</v>
      </c>
    </row>
    <row r="349" spans="1:6" x14ac:dyDescent="0.25">
      <c r="A349">
        <v>348</v>
      </c>
      <c r="B349" t="s">
        <v>258</v>
      </c>
      <c r="C349" t="s">
        <v>471</v>
      </c>
      <c r="D349">
        <v>28200</v>
      </c>
      <c r="E349" t="s">
        <v>8</v>
      </c>
      <c r="F349" t="s">
        <v>9</v>
      </c>
    </row>
    <row r="350" spans="1:6" x14ac:dyDescent="0.25">
      <c r="A350">
        <v>349</v>
      </c>
      <c r="B350" t="s">
        <v>178</v>
      </c>
      <c r="C350" t="s">
        <v>460</v>
      </c>
      <c r="D350">
        <v>44600</v>
      </c>
      <c r="E350" t="s">
        <v>8</v>
      </c>
      <c r="F350" t="s">
        <v>9</v>
      </c>
    </row>
    <row r="351" spans="1:6" x14ac:dyDescent="0.25">
      <c r="A351">
        <v>350</v>
      </c>
      <c r="B351" t="s">
        <v>403</v>
      </c>
      <c r="C351" t="s">
        <v>461</v>
      </c>
      <c r="D351">
        <v>13500</v>
      </c>
      <c r="E351" t="s">
        <v>23</v>
      </c>
      <c r="F351" t="s">
        <v>9</v>
      </c>
    </row>
    <row r="352" spans="1:6" x14ac:dyDescent="0.25">
      <c r="A352">
        <v>351</v>
      </c>
      <c r="B352" t="s">
        <v>133</v>
      </c>
      <c r="C352" t="s">
        <v>462</v>
      </c>
      <c r="D352">
        <v>273800</v>
      </c>
      <c r="E352" t="s">
        <v>8</v>
      </c>
      <c r="F352" t="s">
        <v>9</v>
      </c>
    </row>
    <row r="353" spans="1:6" x14ac:dyDescent="0.25">
      <c r="A353">
        <v>352</v>
      </c>
      <c r="B353" t="s">
        <v>161</v>
      </c>
      <c r="C353" t="s">
        <v>463</v>
      </c>
      <c r="D353">
        <v>28100</v>
      </c>
      <c r="E353" t="s">
        <v>8</v>
      </c>
      <c r="F353" t="s">
        <v>9</v>
      </c>
    </row>
    <row r="354" spans="1:6" x14ac:dyDescent="0.25">
      <c r="A354">
        <v>353</v>
      </c>
      <c r="B354" t="s">
        <v>147</v>
      </c>
      <c r="C354" t="s">
        <v>464</v>
      </c>
      <c r="D354">
        <v>10800</v>
      </c>
      <c r="E354" t="s">
        <v>8</v>
      </c>
      <c r="F354" t="s">
        <v>9</v>
      </c>
    </row>
    <row r="355" spans="1:6" x14ac:dyDescent="0.25">
      <c r="A355">
        <v>354</v>
      </c>
      <c r="B355" t="s">
        <v>312</v>
      </c>
      <c r="C355" t="s">
        <v>465</v>
      </c>
      <c r="D355">
        <v>9900</v>
      </c>
      <c r="E355" t="s">
        <v>8</v>
      </c>
      <c r="F355" t="s">
        <v>9</v>
      </c>
    </row>
    <row r="356" spans="1:6" x14ac:dyDescent="0.25">
      <c r="A356">
        <v>355</v>
      </c>
      <c r="B356" t="s">
        <v>123</v>
      </c>
      <c r="C356" t="s">
        <v>466</v>
      </c>
      <c r="D356">
        <v>11900</v>
      </c>
      <c r="E356" t="s">
        <v>38</v>
      </c>
      <c r="F356" t="s">
        <v>20</v>
      </c>
    </row>
    <row r="357" spans="1:6" x14ac:dyDescent="0.25">
      <c r="A357">
        <v>356</v>
      </c>
      <c r="B357" t="s">
        <v>188</v>
      </c>
      <c r="C357" t="s">
        <v>467</v>
      </c>
      <c r="D357">
        <v>15700</v>
      </c>
      <c r="E357" t="s">
        <v>8</v>
      </c>
      <c r="F357" t="s">
        <v>9</v>
      </c>
    </row>
    <row r="358" spans="1:6" x14ac:dyDescent="0.25">
      <c r="A358">
        <v>357</v>
      </c>
      <c r="B358" t="s">
        <v>180</v>
      </c>
      <c r="C358" t="s">
        <v>468</v>
      </c>
      <c r="D358">
        <v>79900</v>
      </c>
      <c r="E358" t="s">
        <v>38</v>
      </c>
      <c r="F358" t="s">
        <v>20</v>
      </c>
    </row>
    <row r="359" spans="1:6" x14ac:dyDescent="0.25">
      <c r="A359">
        <v>358</v>
      </c>
      <c r="B359" t="s">
        <v>329</v>
      </c>
      <c r="C359" t="s">
        <v>469</v>
      </c>
      <c r="D359">
        <v>59300</v>
      </c>
      <c r="E359" t="s">
        <v>8</v>
      </c>
      <c r="F359" t="s">
        <v>9</v>
      </c>
    </row>
    <row r="360" spans="1:6" x14ac:dyDescent="0.25">
      <c r="A360">
        <v>359</v>
      </c>
      <c r="B360" t="s">
        <v>28</v>
      </c>
      <c r="C360" t="s">
        <v>470</v>
      </c>
      <c r="D360">
        <v>93800</v>
      </c>
      <c r="E360" t="s">
        <v>8</v>
      </c>
      <c r="F360" t="s">
        <v>9</v>
      </c>
    </row>
    <row r="361" spans="1:6" x14ac:dyDescent="0.25">
      <c r="A361">
        <v>360</v>
      </c>
      <c r="B361" t="s">
        <v>219</v>
      </c>
      <c r="C361" t="s">
        <v>471</v>
      </c>
      <c r="D361">
        <v>92400</v>
      </c>
      <c r="E361" t="s">
        <v>8</v>
      </c>
      <c r="F361" t="s">
        <v>9</v>
      </c>
    </row>
    <row r="362" spans="1:6" x14ac:dyDescent="0.25">
      <c r="A362">
        <v>361</v>
      </c>
      <c r="B362" t="s">
        <v>103</v>
      </c>
      <c r="C362" t="s">
        <v>460</v>
      </c>
      <c r="D362">
        <v>77000</v>
      </c>
      <c r="E362" t="s">
        <v>8</v>
      </c>
      <c r="F362" t="s">
        <v>9</v>
      </c>
    </row>
    <row r="363" spans="1:6" x14ac:dyDescent="0.25">
      <c r="A363">
        <v>362</v>
      </c>
      <c r="B363" t="s">
        <v>226</v>
      </c>
      <c r="C363" t="s">
        <v>461</v>
      </c>
      <c r="D363">
        <v>23000</v>
      </c>
      <c r="E363" t="s">
        <v>8</v>
      </c>
      <c r="F363" t="s">
        <v>9</v>
      </c>
    </row>
    <row r="364" spans="1:6" x14ac:dyDescent="0.25">
      <c r="A364">
        <v>363</v>
      </c>
      <c r="B364" t="s">
        <v>191</v>
      </c>
      <c r="C364" t="s">
        <v>462</v>
      </c>
      <c r="D364">
        <v>8900</v>
      </c>
      <c r="E364" t="s">
        <v>8</v>
      </c>
      <c r="F364" t="s">
        <v>9</v>
      </c>
    </row>
    <row r="365" spans="1:6" x14ac:dyDescent="0.25">
      <c r="A365">
        <v>364</v>
      </c>
      <c r="B365" t="s">
        <v>232</v>
      </c>
      <c r="C365" t="s">
        <v>463</v>
      </c>
      <c r="D365">
        <v>64200</v>
      </c>
      <c r="E365" t="s">
        <v>8</v>
      </c>
      <c r="F365" t="s">
        <v>9</v>
      </c>
    </row>
    <row r="366" spans="1:6" x14ac:dyDescent="0.25">
      <c r="A366">
        <v>365</v>
      </c>
      <c r="B366" t="s">
        <v>326</v>
      </c>
      <c r="C366" t="s">
        <v>461</v>
      </c>
      <c r="D366">
        <v>480000</v>
      </c>
      <c r="E366" t="s">
        <v>8</v>
      </c>
      <c r="F366" t="s">
        <v>9</v>
      </c>
    </row>
    <row r="367" spans="1:6" x14ac:dyDescent="0.25">
      <c r="A367">
        <v>366</v>
      </c>
      <c r="B367" t="s">
        <v>344</v>
      </c>
      <c r="C367" t="s">
        <v>465</v>
      </c>
      <c r="D367">
        <v>75600</v>
      </c>
      <c r="E367" t="s">
        <v>8</v>
      </c>
      <c r="F367" t="s">
        <v>20</v>
      </c>
    </row>
    <row r="368" spans="1:6" x14ac:dyDescent="0.25">
      <c r="A368">
        <v>367</v>
      </c>
      <c r="B368" t="s">
        <v>251</v>
      </c>
      <c r="C368" t="s">
        <v>462</v>
      </c>
      <c r="D368">
        <v>500000</v>
      </c>
      <c r="E368" t="s">
        <v>8</v>
      </c>
      <c r="F368" t="s">
        <v>9</v>
      </c>
    </row>
    <row r="369" spans="1:6" x14ac:dyDescent="0.25">
      <c r="A369">
        <v>368</v>
      </c>
      <c r="B369" t="s">
        <v>205</v>
      </c>
      <c r="C369" t="s">
        <v>467</v>
      </c>
      <c r="D369">
        <v>73000</v>
      </c>
      <c r="E369" t="s">
        <v>8</v>
      </c>
      <c r="F369" t="s">
        <v>9</v>
      </c>
    </row>
    <row r="370" spans="1:6" x14ac:dyDescent="0.25">
      <c r="A370">
        <v>369</v>
      </c>
      <c r="B370" t="s">
        <v>371</v>
      </c>
      <c r="C370" t="s">
        <v>468</v>
      </c>
      <c r="D370">
        <v>106300</v>
      </c>
      <c r="E370" t="s">
        <v>23</v>
      </c>
      <c r="F370" t="s">
        <v>9</v>
      </c>
    </row>
    <row r="371" spans="1:6" x14ac:dyDescent="0.25">
      <c r="A371">
        <v>370</v>
      </c>
      <c r="B371" t="s">
        <v>219</v>
      </c>
      <c r="C371" t="s">
        <v>469</v>
      </c>
      <c r="D371">
        <v>50700</v>
      </c>
      <c r="E371" t="s">
        <v>23</v>
      </c>
      <c r="F371" t="s">
        <v>9</v>
      </c>
    </row>
    <row r="372" spans="1:6" x14ac:dyDescent="0.25">
      <c r="A372">
        <v>371</v>
      </c>
      <c r="B372" t="s">
        <v>402</v>
      </c>
      <c r="C372" t="s">
        <v>470</v>
      </c>
      <c r="D372">
        <v>56700</v>
      </c>
      <c r="E372" t="s">
        <v>8</v>
      </c>
      <c r="F372" t="s">
        <v>20</v>
      </c>
    </row>
    <row r="373" spans="1:6" x14ac:dyDescent="0.25">
      <c r="A373">
        <v>372</v>
      </c>
      <c r="B373" t="s">
        <v>160</v>
      </c>
      <c r="C373" t="s">
        <v>471</v>
      </c>
      <c r="D373">
        <v>32700</v>
      </c>
      <c r="E373" t="s">
        <v>8</v>
      </c>
      <c r="F373" t="s">
        <v>9</v>
      </c>
    </row>
    <row r="374" spans="1:6" x14ac:dyDescent="0.25">
      <c r="A374">
        <v>373</v>
      </c>
      <c r="B374" t="s">
        <v>366</v>
      </c>
      <c r="C374" t="s">
        <v>460</v>
      </c>
      <c r="D374">
        <v>18700</v>
      </c>
      <c r="E374" t="s">
        <v>8</v>
      </c>
      <c r="F374" t="s">
        <v>20</v>
      </c>
    </row>
    <row r="375" spans="1:6" x14ac:dyDescent="0.25">
      <c r="A375">
        <v>374</v>
      </c>
      <c r="B375" t="s">
        <v>84</v>
      </c>
      <c r="C375" t="s">
        <v>461</v>
      </c>
      <c r="D375">
        <v>6800</v>
      </c>
      <c r="E375" t="s">
        <v>38</v>
      </c>
      <c r="F375" t="s">
        <v>20</v>
      </c>
    </row>
    <row r="376" spans="1:6" x14ac:dyDescent="0.25">
      <c r="A376">
        <v>375</v>
      </c>
      <c r="B376" t="s">
        <v>14</v>
      </c>
      <c r="C376" t="s">
        <v>462</v>
      </c>
      <c r="D376">
        <v>19900</v>
      </c>
      <c r="E376" t="s">
        <v>38</v>
      </c>
      <c r="F376" t="s">
        <v>20</v>
      </c>
    </row>
    <row r="377" spans="1:6" x14ac:dyDescent="0.25">
      <c r="A377">
        <v>376</v>
      </c>
      <c r="B377" t="s">
        <v>149</v>
      </c>
      <c r="C377" t="s">
        <v>463</v>
      </c>
      <c r="D377">
        <v>277500</v>
      </c>
      <c r="E377" t="s">
        <v>38</v>
      </c>
      <c r="F377" t="s">
        <v>20</v>
      </c>
    </row>
    <row r="378" spans="1:6" x14ac:dyDescent="0.25">
      <c r="A378">
        <v>377</v>
      </c>
      <c r="B378" t="s">
        <v>340</v>
      </c>
      <c r="C378" t="s">
        <v>464</v>
      </c>
      <c r="D378">
        <v>30000</v>
      </c>
      <c r="E378" t="s">
        <v>38</v>
      </c>
      <c r="F378" t="s">
        <v>20</v>
      </c>
    </row>
    <row r="379" spans="1:6" x14ac:dyDescent="0.25">
      <c r="A379">
        <v>378</v>
      </c>
      <c r="B379" t="s">
        <v>332</v>
      </c>
      <c r="C379" t="s">
        <v>465</v>
      </c>
      <c r="D379">
        <v>107900</v>
      </c>
      <c r="E379" t="s">
        <v>8</v>
      </c>
      <c r="F379" t="s">
        <v>9</v>
      </c>
    </row>
    <row r="380" spans="1:6" x14ac:dyDescent="0.25">
      <c r="A380">
        <v>379</v>
      </c>
      <c r="B380" t="s">
        <v>74</v>
      </c>
      <c r="C380" t="s">
        <v>466</v>
      </c>
      <c r="D380">
        <v>269400</v>
      </c>
      <c r="E380" t="s">
        <v>23</v>
      </c>
      <c r="F380" t="s">
        <v>9</v>
      </c>
    </row>
    <row r="381" spans="1:6" x14ac:dyDescent="0.25">
      <c r="A381">
        <v>380</v>
      </c>
      <c r="B381" t="s">
        <v>373</v>
      </c>
      <c r="C381" t="s">
        <v>467</v>
      </c>
      <c r="D381">
        <v>21100</v>
      </c>
      <c r="E381" t="s">
        <v>8</v>
      </c>
      <c r="F381" t="s">
        <v>9</v>
      </c>
    </row>
    <row r="382" spans="1:6" x14ac:dyDescent="0.25">
      <c r="A382">
        <v>381</v>
      </c>
      <c r="B382" t="s">
        <v>120</v>
      </c>
      <c r="C382" t="s">
        <v>468</v>
      </c>
      <c r="D382">
        <v>29200</v>
      </c>
      <c r="E382" t="s">
        <v>8</v>
      </c>
      <c r="F382" t="s">
        <v>9</v>
      </c>
    </row>
    <row r="383" spans="1:6" x14ac:dyDescent="0.25">
      <c r="A383">
        <v>382</v>
      </c>
      <c r="B383" t="s">
        <v>24</v>
      </c>
      <c r="C383" t="s">
        <v>469</v>
      </c>
      <c r="D383">
        <v>103300</v>
      </c>
      <c r="E383" t="s">
        <v>8</v>
      </c>
      <c r="F383" t="s">
        <v>9</v>
      </c>
    </row>
    <row r="384" spans="1:6" x14ac:dyDescent="0.25">
      <c r="A384">
        <v>383</v>
      </c>
      <c r="B384" t="s">
        <v>104</v>
      </c>
      <c r="C384" t="s">
        <v>470</v>
      </c>
      <c r="D384">
        <v>37600</v>
      </c>
      <c r="E384" t="s">
        <v>8</v>
      </c>
      <c r="F384" t="s">
        <v>9</v>
      </c>
    </row>
    <row r="385" spans="1:6" x14ac:dyDescent="0.25">
      <c r="A385">
        <v>384</v>
      </c>
      <c r="B385" t="s">
        <v>103</v>
      </c>
      <c r="C385" t="s">
        <v>471</v>
      </c>
      <c r="D385">
        <v>12700</v>
      </c>
      <c r="E385" t="s">
        <v>38</v>
      </c>
      <c r="F385" t="s">
        <v>20</v>
      </c>
    </row>
    <row r="386" spans="1:6" x14ac:dyDescent="0.25">
      <c r="A386">
        <v>385</v>
      </c>
      <c r="B386" t="s">
        <v>82</v>
      </c>
      <c r="C386" t="s">
        <v>460</v>
      </c>
      <c r="D386">
        <v>13600</v>
      </c>
      <c r="E386" t="s">
        <v>8</v>
      </c>
      <c r="F386" t="s">
        <v>9</v>
      </c>
    </row>
    <row r="387" spans="1:6" x14ac:dyDescent="0.25">
      <c r="A387">
        <v>386</v>
      </c>
      <c r="B387" t="s">
        <v>45</v>
      </c>
      <c r="C387" t="s">
        <v>461</v>
      </c>
      <c r="D387">
        <v>15700</v>
      </c>
      <c r="E387" t="s">
        <v>38</v>
      </c>
      <c r="F387" t="s">
        <v>20</v>
      </c>
    </row>
    <row r="388" spans="1:6" x14ac:dyDescent="0.25">
      <c r="A388">
        <v>387</v>
      </c>
      <c r="B388" t="s">
        <v>40</v>
      </c>
      <c r="C388" t="s">
        <v>462</v>
      </c>
      <c r="D388">
        <v>115800</v>
      </c>
      <c r="E388" t="s">
        <v>8</v>
      </c>
      <c r="F388" t="s">
        <v>9</v>
      </c>
    </row>
    <row r="389" spans="1:6" x14ac:dyDescent="0.25">
      <c r="A389">
        <v>388</v>
      </c>
      <c r="B389" t="s">
        <v>104</v>
      </c>
      <c r="C389" t="s">
        <v>463</v>
      </c>
      <c r="D389">
        <v>9900</v>
      </c>
      <c r="E389" t="s">
        <v>8</v>
      </c>
      <c r="F389" t="s">
        <v>9</v>
      </c>
    </row>
    <row r="390" spans="1:6" x14ac:dyDescent="0.25">
      <c r="A390">
        <v>389</v>
      </c>
      <c r="B390" t="s">
        <v>185</v>
      </c>
      <c r="C390" t="s">
        <v>464</v>
      </c>
      <c r="D390">
        <v>32100</v>
      </c>
      <c r="E390" t="s">
        <v>8</v>
      </c>
      <c r="F390" t="s">
        <v>9</v>
      </c>
    </row>
    <row r="391" spans="1:6" x14ac:dyDescent="0.25">
      <c r="A391">
        <v>390</v>
      </c>
      <c r="B391" t="s">
        <v>309</v>
      </c>
      <c r="C391" t="s">
        <v>465</v>
      </c>
      <c r="D391">
        <v>24500</v>
      </c>
      <c r="E391" t="s">
        <v>8</v>
      </c>
      <c r="F391" t="s">
        <v>9</v>
      </c>
    </row>
    <row r="392" spans="1:6" x14ac:dyDescent="0.25">
      <c r="A392">
        <v>391</v>
      </c>
      <c r="B392" t="s">
        <v>271</v>
      </c>
      <c r="C392" t="s">
        <v>466</v>
      </c>
      <c r="D392">
        <v>43800</v>
      </c>
      <c r="E392" t="s">
        <v>8</v>
      </c>
      <c r="F392" t="s">
        <v>9</v>
      </c>
    </row>
    <row r="393" spans="1:6" x14ac:dyDescent="0.25">
      <c r="A393">
        <v>392</v>
      </c>
      <c r="B393" t="s">
        <v>37</v>
      </c>
      <c r="C393" t="s">
        <v>467</v>
      </c>
      <c r="D393">
        <v>9300</v>
      </c>
      <c r="E393" t="s">
        <v>8</v>
      </c>
      <c r="F393" t="s">
        <v>9</v>
      </c>
    </row>
    <row r="394" spans="1:6" x14ac:dyDescent="0.25">
      <c r="A394">
        <v>393</v>
      </c>
      <c r="B394" t="s">
        <v>222</v>
      </c>
      <c r="C394" t="s">
        <v>468</v>
      </c>
      <c r="D394">
        <v>21000</v>
      </c>
      <c r="E394" t="s">
        <v>23</v>
      </c>
      <c r="F394" t="s">
        <v>9</v>
      </c>
    </row>
    <row r="395" spans="1:6" x14ac:dyDescent="0.25">
      <c r="A395">
        <v>394</v>
      </c>
      <c r="B395" t="s">
        <v>98</v>
      </c>
      <c r="C395" t="s">
        <v>469</v>
      </c>
      <c r="D395">
        <v>27800</v>
      </c>
      <c r="E395" t="s">
        <v>8</v>
      </c>
      <c r="F395" t="s">
        <v>9</v>
      </c>
    </row>
    <row r="396" spans="1:6" x14ac:dyDescent="0.25">
      <c r="A396">
        <v>395</v>
      </c>
      <c r="B396" t="s">
        <v>278</v>
      </c>
      <c r="C396" t="s">
        <v>470</v>
      </c>
      <c r="D396">
        <v>13700</v>
      </c>
      <c r="E396" t="s">
        <v>8</v>
      </c>
      <c r="F396" t="s">
        <v>9</v>
      </c>
    </row>
    <row r="397" spans="1:6" x14ac:dyDescent="0.25">
      <c r="A397">
        <v>396</v>
      </c>
      <c r="B397" t="s">
        <v>143</v>
      </c>
      <c r="C397" t="s">
        <v>471</v>
      </c>
      <c r="D397">
        <v>5100</v>
      </c>
      <c r="E397" t="s">
        <v>23</v>
      </c>
      <c r="F397" t="s">
        <v>9</v>
      </c>
    </row>
    <row r="398" spans="1:6" x14ac:dyDescent="0.25">
      <c r="A398">
        <v>397</v>
      </c>
      <c r="B398" t="s">
        <v>354</v>
      </c>
      <c r="C398" t="s">
        <v>460</v>
      </c>
      <c r="D398">
        <v>128300</v>
      </c>
      <c r="E398" t="s">
        <v>8</v>
      </c>
      <c r="F398" t="s">
        <v>9</v>
      </c>
    </row>
    <row r="399" spans="1:6" x14ac:dyDescent="0.25">
      <c r="A399">
        <v>398</v>
      </c>
      <c r="B399" t="s">
        <v>197</v>
      </c>
      <c r="C399" t="s">
        <v>461</v>
      </c>
      <c r="D399">
        <v>26200</v>
      </c>
      <c r="E399" t="s">
        <v>8</v>
      </c>
      <c r="F399" t="s">
        <v>9</v>
      </c>
    </row>
    <row r="400" spans="1:6" x14ac:dyDescent="0.25">
      <c r="A400">
        <v>399</v>
      </c>
      <c r="B400" t="s">
        <v>158</v>
      </c>
      <c r="C400" t="s">
        <v>462</v>
      </c>
      <c r="D400">
        <v>36500</v>
      </c>
      <c r="E400" t="s">
        <v>8</v>
      </c>
      <c r="F400" t="s">
        <v>9</v>
      </c>
    </row>
    <row r="401" spans="1:6" x14ac:dyDescent="0.25">
      <c r="A401">
        <v>400</v>
      </c>
      <c r="B401" t="s">
        <v>279</v>
      </c>
      <c r="C401" t="s">
        <v>463</v>
      </c>
      <c r="D401">
        <v>9200</v>
      </c>
      <c r="E401" t="s">
        <v>8</v>
      </c>
      <c r="F401" t="s">
        <v>9</v>
      </c>
    </row>
    <row r="402" spans="1:6" x14ac:dyDescent="0.25">
      <c r="A402">
        <v>401</v>
      </c>
      <c r="B402" t="s">
        <v>262</v>
      </c>
      <c r="C402" t="s">
        <v>464</v>
      </c>
      <c r="D402">
        <v>27100</v>
      </c>
      <c r="E402" t="s">
        <v>23</v>
      </c>
      <c r="F402" t="s">
        <v>9</v>
      </c>
    </row>
    <row r="403" spans="1:6" x14ac:dyDescent="0.25">
      <c r="A403">
        <v>402</v>
      </c>
      <c r="B403" t="s">
        <v>115</v>
      </c>
      <c r="C403" t="s">
        <v>465</v>
      </c>
      <c r="D403">
        <v>65000</v>
      </c>
      <c r="E403" t="s">
        <v>8</v>
      </c>
      <c r="F403" t="s">
        <v>9</v>
      </c>
    </row>
    <row r="404" spans="1:6" x14ac:dyDescent="0.25">
      <c r="A404">
        <v>403</v>
      </c>
      <c r="B404" t="s">
        <v>41</v>
      </c>
      <c r="C404" t="s">
        <v>466</v>
      </c>
      <c r="D404">
        <v>12100</v>
      </c>
      <c r="E404" t="s">
        <v>38</v>
      </c>
      <c r="F404" t="s">
        <v>20</v>
      </c>
    </row>
    <row r="405" spans="1:6" x14ac:dyDescent="0.25">
      <c r="A405">
        <v>404</v>
      </c>
      <c r="B405" t="s">
        <v>58</v>
      </c>
      <c r="C405" t="s">
        <v>467</v>
      </c>
      <c r="D405">
        <v>159000</v>
      </c>
      <c r="E405" t="s">
        <v>8</v>
      </c>
      <c r="F405" t="s">
        <v>20</v>
      </c>
    </row>
    <row r="406" spans="1:6" x14ac:dyDescent="0.25">
      <c r="A406">
        <v>405</v>
      </c>
      <c r="B406" t="s">
        <v>315</v>
      </c>
      <c r="C406" t="s">
        <v>468</v>
      </c>
      <c r="D406">
        <v>158400</v>
      </c>
      <c r="E406" t="s">
        <v>8</v>
      </c>
      <c r="F406" t="s">
        <v>9</v>
      </c>
    </row>
    <row r="407" spans="1:6" x14ac:dyDescent="0.25">
      <c r="A407">
        <v>406</v>
      </c>
      <c r="B407" t="s">
        <v>78</v>
      </c>
      <c r="C407" t="s">
        <v>469</v>
      </c>
      <c r="D407">
        <v>145200</v>
      </c>
      <c r="E407" t="s">
        <v>8</v>
      </c>
      <c r="F407" t="s">
        <v>9</v>
      </c>
    </row>
    <row r="408" spans="1:6" x14ac:dyDescent="0.25">
      <c r="A408">
        <v>407</v>
      </c>
      <c r="B408" t="s">
        <v>324</v>
      </c>
      <c r="C408" t="s">
        <v>470</v>
      </c>
      <c r="D408">
        <v>24500</v>
      </c>
      <c r="E408" t="s">
        <v>38</v>
      </c>
      <c r="F408" t="s">
        <v>20</v>
      </c>
    </row>
    <row r="409" spans="1:6" x14ac:dyDescent="0.25">
      <c r="A409">
        <v>408</v>
      </c>
      <c r="B409" t="s">
        <v>114</v>
      </c>
      <c r="C409" t="s">
        <v>471</v>
      </c>
      <c r="D409">
        <v>22100</v>
      </c>
      <c r="E409" t="s">
        <v>8</v>
      </c>
      <c r="F409" t="s">
        <v>9</v>
      </c>
    </row>
    <row r="410" spans="1:6" x14ac:dyDescent="0.25">
      <c r="A410">
        <v>409</v>
      </c>
      <c r="B410" t="s">
        <v>256</v>
      </c>
      <c r="C410" t="s">
        <v>460</v>
      </c>
      <c r="D410">
        <v>82200</v>
      </c>
      <c r="E410" t="s">
        <v>8</v>
      </c>
      <c r="F410" t="s">
        <v>9</v>
      </c>
    </row>
    <row r="411" spans="1:6" x14ac:dyDescent="0.25">
      <c r="A411">
        <v>410</v>
      </c>
      <c r="B411" t="s">
        <v>241</v>
      </c>
      <c r="C411" t="s">
        <v>461</v>
      </c>
      <c r="D411">
        <v>39000</v>
      </c>
      <c r="E411" t="s">
        <v>8</v>
      </c>
      <c r="F411" t="s">
        <v>9</v>
      </c>
    </row>
    <row r="412" spans="1:6" x14ac:dyDescent="0.25">
      <c r="A412">
        <v>411</v>
      </c>
      <c r="B412" t="s">
        <v>59</v>
      </c>
      <c r="C412" t="s">
        <v>462</v>
      </c>
      <c r="D412">
        <v>31600</v>
      </c>
      <c r="E412" t="s">
        <v>8</v>
      </c>
      <c r="F412" t="s">
        <v>20</v>
      </c>
    </row>
    <row r="413" spans="1:6" x14ac:dyDescent="0.25">
      <c r="A413">
        <v>412</v>
      </c>
      <c r="B413" t="s">
        <v>18</v>
      </c>
      <c r="C413" t="s">
        <v>463</v>
      </c>
      <c r="D413">
        <v>62300</v>
      </c>
      <c r="E413" t="s">
        <v>8</v>
      </c>
      <c r="F413" t="s">
        <v>9</v>
      </c>
    </row>
    <row r="414" spans="1:6" x14ac:dyDescent="0.25">
      <c r="A414">
        <v>413</v>
      </c>
      <c r="B414" t="s">
        <v>225</v>
      </c>
      <c r="C414" t="s">
        <v>464</v>
      </c>
      <c r="D414">
        <v>45800</v>
      </c>
      <c r="E414" t="s">
        <v>23</v>
      </c>
      <c r="F414" t="s">
        <v>9</v>
      </c>
    </row>
    <row r="415" spans="1:6" x14ac:dyDescent="0.25">
      <c r="A415">
        <v>414</v>
      </c>
      <c r="B415" t="s">
        <v>263</v>
      </c>
      <c r="C415" t="s">
        <v>465</v>
      </c>
      <c r="D415">
        <v>52300</v>
      </c>
      <c r="E415" t="s">
        <v>23</v>
      </c>
      <c r="F415" t="s">
        <v>9</v>
      </c>
    </row>
    <row r="416" spans="1:6" x14ac:dyDescent="0.25">
      <c r="A416">
        <v>415</v>
      </c>
      <c r="B416" t="s">
        <v>95</v>
      </c>
      <c r="C416" t="s">
        <v>466</v>
      </c>
      <c r="D416">
        <v>37600</v>
      </c>
      <c r="E416" t="s">
        <v>8</v>
      </c>
      <c r="F416" t="s">
        <v>9</v>
      </c>
    </row>
    <row r="417" spans="1:6" x14ac:dyDescent="0.25">
      <c r="A417">
        <v>416</v>
      </c>
      <c r="B417" t="s">
        <v>312</v>
      </c>
      <c r="C417" t="s">
        <v>467</v>
      </c>
      <c r="D417">
        <v>88200</v>
      </c>
      <c r="E417" t="s">
        <v>8</v>
      </c>
      <c r="F417" t="s">
        <v>9</v>
      </c>
    </row>
    <row r="418" spans="1:6" x14ac:dyDescent="0.25">
      <c r="A418">
        <v>417</v>
      </c>
      <c r="B418" t="s">
        <v>51</v>
      </c>
      <c r="C418" t="s">
        <v>468</v>
      </c>
      <c r="D418">
        <v>11100</v>
      </c>
      <c r="E418" t="s">
        <v>23</v>
      </c>
      <c r="F418" t="s">
        <v>9</v>
      </c>
    </row>
    <row r="419" spans="1:6" x14ac:dyDescent="0.25">
      <c r="A419">
        <v>418</v>
      </c>
      <c r="B419" t="s">
        <v>45</v>
      </c>
      <c r="C419" t="s">
        <v>469</v>
      </c>
      <c r="D419">
        <v>42900</v>
      </c>
      <c r="E419" t="s">
        <v>8</v>
      </c>
      <c r="F419" t="s">
        <v>9</v>
      </c>
    </row>
    <row r="420" spans="1:6" x14ac:dyDescent="0.25">
      <c r="A420">
        <v>419</v>
      </c>
      <c r="B420" t="s">
        <v>142</v>
      </c>
      <c r="C420" t="s">
        <v>470</v>
      </c>
      <c r="D420">
        <v>28700</v>
      </c>
      <c r="E420" t="s">
        <v>23</v>
      </c>
      <c r="F420" t="s">
        <v>9</v>
      </c>
    </row>
    <row r="421" spans="1:6" x14ac:dyDescent="0.25">
      <c r="A421">
        <v>420</v>
      </c>
      <c r="B421" t="s">
        <v>224</v>
      </c>
      <c r="C421" t="s">
        <v>471</v>
      </c>
      <c r="D421">
        <v>30600</v>
      </c>
      <c r="E421" t="s">
        <v>8</v>
      </c>
      <c r="F421" t="s">
        <v>9</v>
      </c>
    </row>
    <row r="422" spans="1:6" x14ac:dyDescent="0.25">
      <c r="A422">
        <v>421</v>
      </c>
      <c r="B422" t="s">
        <v>174</v>
      </c>
      <c r="C422" t="s">
        <v>460</v>
      </c>
      <c r="D422">
        <v>71400</v>
      </c>
      <c r="E422" t="s">
        <v>8</v>
      </c>
      <c r="F422" t="s">
        <v>9</v>
      </c>
    </row>
    <row r="423" spans="1:6" x14ac:dyDescent="0.25">
      <c r="A423">
        <v>422</v>
      </c>
      <c r="B423" t="s">
        <v>139</v>
      </c>
      <c r="C423" t="s">
        <v>461</v>
      </c>
      <c r="D423">
        <v>19000</v>
      </c>
      <c r="E423" t="s">
        <v>8</v>
      </c>
      <c r="F423" t="s">
        <v>9</v>
      </c>
    </row>
    <row r="424" spans="1:6" x14ac:dyDescent="0.25">
      <c r="A424">
        <v>423</v>
      </c>
      <c r="B424" t="s">
        <v>399</v>
      </c>
      <c r="C424" t="s">
        <v>462</v>
      </c>
      <c r="D424">
        <v>180900</v>
      </c>
      <c r="E424" t="s">
        <v>23</v>
      </c>
      <c r="F424" t="s">
        <v>9</v>
      </c>
    </row>
    <row r="425" spans="1:6" x14ac:dyDescent="0.25">
      <c r="A425">
        <v>424</v>
      </c>
      <c r="B425" t="s">
        <v>206</v>
      </c>
      <c r="C425" t="s">
        <v>463</v>
      </c>
      <c r="D425">
        <v>46200</v>
      </c>
      <c r="E425" t="s">
        <v>8</v>
      </c>
      <c r="F425" t="s">
        <v>9</v>
      </c>
    </row>
    <row r="426" spans="1:6" x14ac:dyDescent="0.25">
      <c r="A426">
        <v>425</v>
      </c>
      <c r="B426" t="s">
        <v>234</v>
      </c>
      <c r="C426" t="s">
        <v>464</v>
      </c>
      <c r="D426">
        <v>83700</v>
      </c>
      <c r="E426" t="s">
        <v>8</v>
      </c>
      <c r="F426" t="s">
        <v>9</v>
      </c>
    </row>
    <row r="427" spans="1:6" x14ac:dyDescent="0.25">
      <c r="A427">
        <v>426</v>
      </c>
      <c r="B427" t="s">
        <v>146</v>
      </c>
      <c r="C427" t="s">
        <v>465</v>
      </c>
      <c r="D427">
        <v>90000</v>
      </c>
      <c r="E427" t="s">
        <v>23</v>
      </c>
      <c r="F427" t="s">
        <v>9</v>
      </c>
    </row>
    <row r="428" spans="1:6" x14ac:dyDescent="0.25">
      <c r="A428">
        <v>427</v>
      </c>
      <c r="B428" t="s">
        <v>180</v>
      </c>
      <c r="C428" t="s">
        <v>466</v>
      </c>
      <c r="D428">
        <v>107000</v>
      </c>
      <c r="E428" t="s">
        <v>8</v>
      </c>
      <c r="F428" t="s">
        <v>9</v>
      </c>
    </row>
    <row r="429" spans="1:6" x14ac:dyDescent="0.25">
      <c r="A429">
        <v>428</v>
      </c>
      <c r="B429" t="s">
        <v>292</v>
      </c>
      <c r="C429" t="s">
        <v>467</v>
      </c>
      <c r="D429">
        <v>41600</v>
      </c>
      <c r="E429" t="s">
        <v>8</v>
      </c>
      <c r="F429" t="s">
        <v>9</v>
      </c>
    </row>
    <row r="430" spans="1:6" x14ac:dyDescent="0.25">
      <c r="A430">
        <v>429</v>
      </c>
      <c r="B430" t="s">
        <v>339</v>
      </c>
      <c r="C430" t="s">
        <v>468</v>
      </c>
      <c r="D430">
        <v>9200</v>
      </c>
      <c r="E430" t="s">
        <v>8</v>
      </c>
      <c r="F430" t="s">
        <v>9</v>
      </c>
    </row>
    <row r="431" spans="1:6" x14ac:dyDescent="0.25">
      <c r="A431">
        <v>430</v>
      </c>
      <c r="B431" t="s">
        <v>102</v>
      </c>
      <c r="C431" t="s">
        <v>469</v>
      </c>
      <c r="D431">
        <v>35000</v>
      </c>
      <c r="E431" t="s">
        <v>8</v>
      </c>
      <c r="F431" t="s">
        <v>9</v>
      </c>
    </row>
    <row r="432" spans="1:6" x14ac:dyDescent="0.25">
      <c r="A432">
        <v>431</v>
      </c>
      <c r="B432" t="s">
        <v>396</v>
      </c>
      <c r="C432" t="s">
        <v>470</v>
      </c>
      <c r="D432">
        <v>162600</v>
      </c>
      <c r="E432" t="s">
        <v>8</v>
      </c>
      <c r="F432" t="s">
        <v>9</v>
      </c>
    </row>
    <row r="433" spans="1:6" x14ac:dyDescent="0.25">
      <c r="A433">
        <v>432</v>
      </c>
      <c r="B433" t="s">
        <v>335</v>
      </c>
      <c r="C433" t="s">
        <v>471</v>
      </c>
      <c r="D433">
        <v>23300</v>
      </c>
      <c r="E433" t="s">
        <v>8</v>
      </c>
      <c r="F433" t="s">
        <v>9</v>
      </c>
    </row>
    <row r="434" spans="1:6" x14ac:dyDescent="0.25">
      <c r="A434">
        <v>433</v>
      </c>
      <c r="B434" t="s">
        <v>389</v>
      </c>
      <c r="C434" t="s">
        <v>460</v>
      </c>
      <c r="D434">
        <v>42500</v>
      </c>
      <c r="E434" t="s">
        <v>38</v>
      </c>
      <c r="F434" t="s">
        <v>20</v>
      </c>
    </row>
    <row r="435" spans="1:6" x14ac:dyDescent="0.25">
      <c r="A435">
        <v>434</v>
      </c>
      <c r="B435" t="s">
        <v>242</v>
      </c>
      <c r="C435" t="s">
        <v>461</v>
      </c>
      <c r="D435">
        <v>16600</v>
      </c>
      <c r="E435" t="s">
        <v>8</v>
      </c>
      <c r="F435" t="s">
        <v>9</v>
      </c>
    </row>
    <row r="436" spans="1:6" x14ac:dyDescent="0.25">
      <c r="A436">
        <v>435</v>
      </c>
      <c r="B436" t="s">
        <v>322</v>
      </c>
      <c r="C436" t="s">
        <v>462</v>
      </c>
      <c r="D436">
        <v>19800</v>
      </c>
      <c r="E436" t="s">
        <v>38</v>
      </c>
      <c r="F436" t="s">
        <v>9</v>
      </c>
    </row>
    <row r="437" spans="1:6" x14ac:dyDescent="0.25">
      <c r="A437">
        <v>436</v>
      </c>
      <c r="B437" t="s">
        <v>361</v>
      </c>
      <c r="C437" t="s">
        <v>463</v>
      </c>
      <c r="D437">
        <v>117400</v>
      </c>
      <c r="E437" t="s">
        <v>8</v>
      </c>
      <c r="F437" t="s">
        <v>9</v>
      </c>
    </row>
    <row r="438" spans="1:6" x14ac:dyDescent="0.25">
      <c r="A438">
        <v>437</v>
      </c>
      <c r="B438" t="s">
        <v>188</v>
      </c>
      <c r="C438" t="s">
        <v>464</v>
      </c>
      <c r="D438">
        <v>12200</v>
      </c>
      <c r="E438" t="s">
        <v>8</v>
      </c>
      <c r="F438" t="s">
        <v>9</v>
      </c>
    </row>
    <row r="439" spans="1:6" x14ac:dyDescent="0.25">
      <c r="A439">
        <v>438</v>
      </c>
      <c r="B439" t="s">
        <v>286</v>
      </c>
      <c r="C439" t="s">
        <v>465</v>
      </c>
      <c r="D439">
        <v>18600</v>
      </c>
      <c r="E439" t="s">
        <v>38</v>
      </c>
      <c r="F439" t="s">
        <v>20</v>
      </c>
    </row>
    <row r="440" spans="1:6" x14ac:dyDescent="0.25">
      <c r="A440">
        <v>439</v>
      </c>
      <c r="B440" t="s">
        <v>373</v>
      </c>
      <c r="C440" t="s">
        <v>466</v>
      </c>
      <c r="D440">
        <v>31200</v>
      </c>
      <c r="E440" t="s">
        <v>8</v>
      </c>
      <c r="F440" t="s">
        <v>9</v>
      </c>
    </row>
    <row r="441" spans="1:6" x14ac:dyDescent="0.25">
      <c r="A441">
        <v>440</v>
      </c>
      <c r="B441" t="s">
        <v>421</v>
      </c>
      <c r="C441" t="s">
        <v>467</v>
      </c>
      <c r="D441">
        <v>17600</v>
      </c>
      <c r="E441" t="s">
        <v>23</v>
      </c>
      <c r="F441" t="s">
        <v>9</v>
      </c>
    </row>
    <row r="442" spans="1:6" x14ac:dyDescent="0.25">
      <c r="A442">
        <v>441</v>
      </c>
      <c r="B442" t="s">
        <v>241</v>
      </c>
      <c r="C442" t="s">
        <v>468</v>
      </c>
      <c r="D442">
        <v>14800</v>
      </c>
      <c r="E442" t="s">
        <v>38</v>
      </c>
      <c r="F442" t="s">
        <v>20</v>
      </c>
    </row>
    <row r="443" spans="1:6" x14ac:dyDescent="0.25">
      <c r="A443">
        <v>442</v>
      </c>
      <c r="B443" t="s">
        <v>94</v>
      </c>
      <c r="C443" t="s">
        <v>469</v>
      </c>
      <c r="D443">
        <v>162300</v>
      </c>
      <c r="E443" t="s">
        <v>23</v>
      </c>
      <c r="F443" t="s">
        <v>9</v>
      </c>
    </row>
    <row r="444" spans="1:6" x14ac:dyDescent="0.25">
      <c r="A444">
        <v>443</v>
      </c>
      <c r="B444" t="s">
        <v>419</v>
      </c>
      <c r="C444" t="s">
        <v>470</v>
      </c>
      <c r="D444">
        <v>59000</v>
      </c>
      <c r="E444" t="s">
        <v>8</v>
      </c>
      <c r="F444" t="s">
        <v>9</v>
      </c>
    </row>
    <row r="445" spans="1:6" x14ac:dyDescent="0.25">
      <c r="A445">
        <v>444</v>
      </c>
      <c r="B445" t="s">
        <v>388</v>
      </c>
      <c r="C445" t="s">
        <v>471</v>
      </c>
      <c r="D445">
        <v>121800</v>
      </c>
      <c r="E445" t="s">
        <v>8</v>
      </c>
      <c r="F445" t="s">
        <v>9</v>
      </c>
    </row>
    <row r="446" spans="1:6" x14ac:dyDescent="0.25">
      <c r="A446">
        <v>445</v>
      </c>
      <c r="B446" t="s">
        <v>100</v>
      </c>
      <c r="C446" t="s">
        <v>460</v>
      </c>
      <c r="D446">
        <v>27900</v>
      </c>
      <c r="E446" t="s">
        <v>8</v>
      </c>
      <c r="F446" t="s">
        <v>9</v>
      </c>
    </row>
    <row r="447" spans="1:6" x14ac:dyDescent="0.25">
      <c r="A447">
        <v>446</v>
      </c>
      <c r="B447" t="s">
        <v>42</v>
      </c>
      <c r="C447" t="s">
        <v>461</v>
      </c>
      <c r="D447">
        <v>41900</v>
      </c>
      <c r="E447" t="s">
        <v>8</v>
      </c>
      <c r="F447" t="s">
        <v>9</v>
      </c>
    </row>
    <row r="448" spans="1:6" x14ac:dyDescent="0.25">
      <c r="A448">
        <v>447</v>
      </c>
      <c r="B448" t="s">
        <v>54</v>
      </c>
      <c r="C448" t="s">
        <v>462</v>
      </c>
      <c r="D448">
        <v>25500</v>
      </c>
      <c r="E448" t="s">
        <v>8</v>
      </c>
      <c r="F448" t="s">
        <v>20</v>
      </c>
    </row>
    <row r="449" spans="1:6" x14ac:dyDescent="0.25">
      <c r="A449">
        <v>448</v>
      </c>
      <c r="B449" t="s">
        <v>419</v>
      </c>
      <c r="C449" t="s">
        <v>463</v>
      </c>
      <c r="D449">
        <v>28200</v>
      </c>
      <c r="E449" t="s">
        <v>8</v>
      </c>
      <c r="F449" t="s">
        <v>9</v>
      </c>
    </row>
    <row r="450" spans="1:6" x14ac:dyDescent="0.25">
      <c r="A450">
        <v>449</v>
      </c>
      <c r="B450" t="s">
        <v>273</v>
      </c>
      <c r="C450" t="s">
        <v>464</v>
      </c>
      <c r="D450">
        <v>80100</v>
      </c>
      <c r="E450" t="s">
        <v>8</v>
      </c>
      <c r="F450" t="s">
        <v>20</v>
      </c>
    </row>
    <row r="451" spans="1:6" x14ac:dyDescent="0.25">
      <c r="A451">
        <v>450</v>
      </c>
      <c r="B451" t="s">
        <v>259</v>
      </c>
      <c r="C451" t="s">
        <v>465</v>
      </c>
      <c r="D451">
        <v>31200</v>
      </c>
      <c r="E451" t="s">
        <v>8</v>
      </c>
      <c r="F451" t="s">
        <v>9</v>
      </c>
    </row>
    <row r="452" spans="1:6" x14ac:dyDescent="0.25">
      <c r="A452">
        <v>451</v>
      </c>
      <c r="B452" t="s">
        <v>270</v>
      </c>
      <c r="C452" t="s">
        <v>466</v>
      </c>
      <c r="D452">
        <v>14300</v>
      </c>
      <c r="E452" t="s">
        <v>8</v>
      </c>
      <c r="F452" t="s">
        <v>9</v>
      </c>
    </row>
    <row r="453" spans="1:6" x14ac:dyDescent="0.25">
      <c r="A453">
        <v>452</v>
      </c>
      <c r="B453" t="s">
        <v>199</v>
      </c>
      <c r="C453" t="s">
        <v>467</v>
      </c>
      <c r="D453">
        <v>98100</v>
      </c>
      <c r="E453" t="s">
        <v>8</v>
      </c>
      <c r="F453" t="s">
        <v>9</v>
      </c>
    </row>
    <row r="454" spans="1:6" x14ac:dyDescent="0.25">
      <c r="A454">
        <v>453</v>
      </c>
      <c r="B454" t="s">
        <v>175</v>
      </c>
      <c r="C454" t="s">
        <v>468</v>
      </c>
      <c r="D454">
        <v>384100</v>
      </c>
      <c r="E454" t="s">
        <v>23</v>
      </c>
      <c r="F454" t="s">
        <v>9</v>
      </c>
    </row>
    <row r="455" spans="1:6" x14ac:dyDescent="0.25">
      <c r="A455">
        <v>454</v>
      </c>
      <c r="B455" t="s">
        <v>187</v>
      </c>
      <c r="C455" t="s">
        <v>469</v>
      </c>
      <c r="D455">
        <v>15600</v>
      </c>
      <c r="E455" t="s">
        <v>8</v>
      </c>
      <c r="F455" t="s">
        <v>9</v>
      </c>
    </row>
    <row r="456" spans="1:6" x14ac:dyDescent="0.25">
      <c r="A456">
        <v>455</v>
      </c>
      <c r="B456" t="s">
        <v>96</v>
      </c>
      <c r="C456" t="s">
        <v>470</v>
      </c>
      <c r="D456">
        <v>22200</v>
      </c>
      <c r="E456" t="s">
        <v>8</v>
      </c>
      <c r="F456" t="s">
        <v>9</v>
      </c>
    </row>
    <row r="457" spans="1:6" x14ac:dyDescent="0.25">
      <c r="A457">
        <v>456</v>
      </c>
      <c r="B457" t="s">
        <v>419</v>
      </c>
      <c r="C457" t="s">
        <v>471</v>
      </c>
      <c r="D457">
        <v>27100</v>
      </c>
      <c r="E457" t="s">
        <v>23</v>
      </c>
      <c r="F457" t="s">
        <v>9</v>
      </c>
    </row>
    <row r="458" spans="1:6" x14ac:dyDescent="0.25">
      <c r="A458">
        <v>457</v>
      </c>
      <c r="B458" t="s">
        <v>113</v>
      </c>
      <c r="C458" t="s">
        <v>460</v>
      </c>
      <c r="D458">
        <v>29300</v>
      </c>
      <c r="E458" t="s">
        <v>8</v>
      </c>
      <c r="F458" t="s">
        <v>9</v>
      </c>
    </row>
    <row r="459" spans="1:6" x14ac:dyDescent="0.25">
      <c r="A459">
        <v>458</v>
      </c>
      <c r="B459" t="s">
        <v>126</v>
      </c>
      <c r="C459" t="s">
        <v>461</v>
      </c>
      <c r="D459">
        <v>45300</v>
      </c>
      <c r="E459" t="s">
        <v>8</v>
      </c>
      <c r="F459" t="s">
        <v>9</v>
      </c>
    </row>
    <row r="460" spans="1:6" x14ac:dyDescent="0.25">
      <c r="A460">
        <v>459</v>
      </c>
      <c r="B460" t="s">
        <v>306</v>
      </c>
      <c r="C460" t="s">
        <v>462</v>
      </c>
      <c r="D460">
        <v>47100</v>
      </c>
      <c r="E460" t="s">
        <v>8</v>
      </c>
      <c r="F460" t="s">
        <v>9</v>
      </c>
    </row>
    <row r="461" spans="1:6" x14ac:dyDescent="0.25">
      <c r="A461">
        <v>460</v>
      </c>
      <c r="B461" t="s">
        <v>278</v>
      </c>
      <c r="C461" t="s">
        <v>463</v>
      </c>
      <c r="D461">
        <v>27000</v>
      </c>
      <c r="E461" t="s">
        <v>23</v>
      </c>
      <c r="F461" t="s">
        <v>9</v>
      </c>
    </row>
    <row r="462" spans="1:6" x14ac:dyDescent="0.25">
      <c r="A462">
        <v>461</v>
      </c>
      <c r="B462" t="s">
        <v>147</v>
      </c>
      <c r="C462" t="s">
        <v>464</v>
      </c>
      <c r="D462">
        <v>51800</v>
      </c>
      <c r="E462" t="s">
        <v>8</v>
      </c>
      <c r="F462" t="s">
        <v>9</v>
      </c>
    </row>
    <row r="463" spans="1:6" x14ac:dyDescent="0.25">
      <c r="A463">
        <v>462</v>
      </c>
      <c r="B463" t="s">
        <v>98</v>
      </c>
      <c r="C463" t="s">
        <v>465</v>
      </c>
      <c r="D463">
        <v>23000</v>
      </c>
      <c r="E463" t="s">
        <v>8</v>
      </c>
      <c r="F463" t="s">
        <v>9</v>
      </c>
    </row>
    <row r="464" spans="1:6" x14ac:dyDescent="0.25">
      <c r="A464">
        <v>463</v>
      </c>
      <c r="B464" t="s">
        <v>69</v>
      </c>
      <c r="C464" t="s">
        <v>466</v>
      </c>
      <c r="D464">
        <v>5000</v>
      </c>
      <c r="E464" t="s">
        <v>8</v>
      </c>
      <c r="F464" t="s">
        <v>9</v>
      </c>
    </row>
    <row r="465" spans="1:6" x14ac:dyDescent="0.25">
      <c r="A465">
        <v>464</v>
      </c>
      <c r="B465" t="s">
        <v>320</v>
      </c>
      <c r="C465" t="s">
        <v>467</v>
      </c>
      <c r="D465">
        <v>53300</v>
      </c>
      <c r="E465" t="s">
        <v>8</v>
      </c>
      <c r="F465" t="s">
        <v>9</v>
      </c>
    </row>
    <row r="466" spans="1:6" x14ac:dyDescent="0.25">
      <c r="A466">
        <v>465</v>
      </c>
      <c r="B466" t="s">
        <v>177</v>
      </c>
      <c r="C466" t="s">
        <v>468</v>
      </c>
      <c r="D466">
        <v>40000</v>
      </c>
      <c r="E466" t="s">
        <v>8</v>
      </c>
      <c r="F466" t="s">
        <v>9</v>
      </c>
    </row>
    <row r="467" spans="1:6" x14ac:dyDescent="0.25">
      <c r="A467">
        <v>466</v>
      </c>
      <c r="B467" t="s">
        <v>168</v>
      </c>
      <c r="C467" t="s">
        <v>469</v>
      </c>
      <c r="D467">
        <v>19400</v>
      </c>
      <c r="E467" t="s">
        <v>23</v>
      </c>
      <c r="F467" t="s">
        <v>20</v>
      </c>
    </row>
    <row r="468" spans="1:6" x14ac:dyDescent="0.25">
      <c r="A468">
        <v>467</v>
      </c>
      <c r="B468" t="s">
        <v>41</v>
      </c>
      <c r="C468" t="s">
        <v>470</v>
      </c>
      <c r="D468">
        <v>60400</v>
      </c>
      <c r="E468" t="s">
        <v>38</v>
      </c>
      <c r="F468" t="s">
        <v>20</v>
      </c>
    </row>
    <row r="469" spans="1:6" x14ac:dyDescent="0.25">
      <c r="A469">
        <v>468</v>
      </c>
      <c r="B469" t="s">
        <v>201</v>
      </c>
      <c r="C469" t="s">
        <v>471</v>
      </c>
      <c r="D469">
        <v>7000</v>
      </c>
      <c r="E469" t="s">
        <v>8</v>
      </c>
      <c r="F469" t="s">
        <v>9</v>
      </c>
    </row>
    <row r="470" spans="1:6" x14ac:dyDescent="0.25">
      <c r="A470">
        <v>469</v>
      </c>
      <c r="B470" t="s">
        <v>307</v>
      </c>
      <c r="C470" t="s">
        <v>460</v>
      </c>
      <c r="D470">
        <v>99900</v>
      </c>
      <c r="E470" t="s">
        <v>8</v>
      </c>
      <c r="F470" t="s">
        <v>9</v>
      </c>
    </row>
    <row r="471" spans="1:6" x14ac:dyDescent="0.25">
      <c r="A471">
        <v>470</v>
      </c>
      <c r="B471" t="s">
        <v>369</v>
      </c>
      <c r="C471" t="s">
        <v>461</v>
      </c>
      <c r="D471">
        <v>22600</v>
      </c>
      <c r="E471" t="s">
        <v>8</v>
      </c>
      <c r="F471" t="s">
        <v>9</v>
      </c>
    </row>
    <row r="472" spans="1:6" x14ac:dyDescent="0.25">
      <c r="A472">
        <v>471</v>
      </c>
      <c r="B472" t="s">
        <v>226</v>
      </c>
      <c r="C472" t="s">
        <v>462</v>
      </c>
      <c r="D472">
        <v>27800</v>
      </c>
      <c r="E472" t="s">
        <v>38</v>
      </c>
      <c r="F472" t="s">
        <v>20</v>
      </c>
    </row>
    <row r="473" spans="1:6" x14ac:dyDescent="0.25">
      <c r="A473">
        <v>472</v>
      </c>
      <c r="B473" t="s">
        <v>351</v>
      </c>
      <c r="C473" t="s">
        <v>463</v>
      </c>
      <c r="D473">
        <v>112700</v>
      </c>
      <c r="E473" t="s">
        <v>8</v>
      </c>
      <c r="F473" t="s">
        <v>9</v>
      </c>
    </row>
    <row r="474" spans="1:6" x14ac:dyDescent="0.25">
      <c r="A474">
        <v>473</v>
      </c>
      <c r="B474" t="s">
        <v>214</v>
      </c>
      <c r="C474" t="s">
        <v>464</v>
      </c>
      <c r="D474">
        <v>6800</v>
      </c>
      <c r="E474" t="s">
        <v>23</v>
      </c>
      <c r="F474" t="s">
        <v>9</v>
      </c>
    </row>
    <row r="475" spans="1:6" x14ac:dyDescent="0.25">
      <c r="A475">
        <v>474</v>
      </c>
      <c r="B475" t="s">
        <v>28</v>
      </c>
      <c r="C475" t="s">
        <v>465</v>
      </c>
      <c r="D475">
        <v>45800</v>
      </c>
      <c r="E475" t="s">
        <v>23</v>
      </c>
      <c r="F475" t="s">
        <v>9</v>
      </c>
    </row>
    <row r="476" spans="1:6" x14ac:dyDescent="0.25">
      <c r="A476">
        <v>475</v>
      </c>
      <c r="B476" t="s">
        <v>18</v>
      </c>
      <c r="C476" t="s">
        <v>466</v>
      </c>
      <c r="D476">
        <v>120900</v>
      </c>
      <c r="E476" t="s">
        <v>8</v>
      </c>
      <c r="F476" t="s">
        <v>9</v>
      </c>
    </row>
    <row r="477" spans="1:6" x14ac:dyDescent="0.25">
      <c r="A477">
        <v>476</v>
      </c>
      <c r="B477" t="s">
        <v>133</v>
      </c>
      <c r="C477" t="s">
        <v>467</v>
      </c>
      <c r="D477">
        <v>36100</v>
      </c>
      <c r="E477" t="s">
        <v>8</v>
      </c>
      <c r="F477" t="s">
        <v>9</v>
      </c>
    </row>
    <row r="478" spans="1:6" x14ac:dyDescent="0.25">
      <c r="A478">
        <v>477</v>
      </c>
      <c r="B478" t="s">
        <v>215</v>
      </c>
      <c r="C478" t="s">
        <v>468</v>
      </c>
      <c r="D478">
        <v>24500</v>
      </c>
      <c r="E478" t="s">
        <v>23</v>
      </c>
      <c r="F478" t="s">
        <v>9</v>
      </c>
    </row>
    <row r="479" spans="1:6" x14ac:dyDescent="0.25">
      <c r="A479">
        <v>478</v>
      </c>
      <c r="B479" t="s">
        <v>162</v>
      </c>
      <c r="C479" t="s">
        <v>469</v>
      </c>
      <c r="D479">
        <v>34200</v>
      </c>
      <c r="E479" t="s">
        <v>8</v>
      </c>
      <c r="F479" t="s">
        <v>9</v>
      </c>
    </row>
    <row r="480" spans="1:6" x14ac:dyDescent="0.25">
      <c r="A480">
        <v>479</v>
      </c>
      <c r="B480" t="s">
        <v>81</v>
      </c>
      <c r="C480" t="s">
        <v>470</v>
      </c>
      <c r="D480">
        <v>21300</v>
      </c>
      <c r="E480" t="s">
        <v>8</v>
      </c>
      <c r="F480" t="s">
        <v>9</v>
      </c>
    </row>
    <row r="481" spans="1:6" x14ac:dyDescent="0.25">
      <c r="A481">
        <v>480</v>
      </c>
      <c r="B481" t="s">
        <v>249</v>
      </c>
      <c r="C481" t="s">
        <v>471</v>
      </c>
      <c r="D481">
        <v>92100</v>
      </c>
      <c r="E481" t="s">
        <v>8</v>
      </c>
      <c r="F481" t="s">
        <v>9</v>
      </c>
    </row>
    <row r="482" spans="1:6" x14ac:dyDescent="0.25">
      <c r="A482">
        <v>481</v>
      </c>
      <c r="B482" t="s">
        <v>372</v>
      </c>
      <c r="C482" t="s">
        <v>460</v>
      </c>
      <c r="D482">
        <v>66900</v>
      </c>
      <c r="E482" t="s">
        <v>38</v>
      </c>
      <c r="F482" t="s">
        <v>20</v>
      </c>
    </row>
    <row r="483" spans="1:6" x14ac:dyDescent="0.25">
      <c r="A483">
        <v>482</v>
      </c>
      <c r="B483" t="s">
        <v>112</v>
      </c>
      <c r="C483" t="s">
        <v>461</v>
      </c>
      <c r="D483">
        <v>71900</v>
      </c>
      <c r="E483" t="s">
        <v>23</v>
      </c>
      <c r="F483" t="s">
        <v>9</v>
      </c>
    </row>
    <row r="484" spans="1:6" x14ac:dyDescent="0.25">
      <c r="A484">
        <v>483</v>
      </c>
      <c r="B484" t="s">
        <v>163</v>
      </c>
      <c r="C484" t="s">
        <v>462</v>
      </c>
      <c r="D484">
        <v>45300</v>
      </c>
      <c r="E484" t="s">
        <v>8</v>
      </c>
      <c r="F484" t="s">
        <v>20</v>
      </c>
    </row>
    <row r="485" spans="1:6" x14ac:dyDescent="0.25">
      <c r="A485">
        <v>484</v>
      </c>
      <c r="B485" t="s">
        <v>389</v>
      </c>
      <c r="C485" t="s">
        <v>463</v>
      </c>
      <c r="D485">
        <v>27200</v>
      </c>
      <c r="E485" t="s">
        <v>8</v>
      </c>
      <c r="F485" t="s">
        <v>9</v>
      </c>
    </row>
    <row r="486" spans="1:6" x14ac:dyDescent="0.25">
      <c r="A486">
        <v>485</v>
      </c>
      <c r="B486" t="s">
        <v>97</v>
      </c>
      <c r="C486" t="s">
        <v>464</v>
      </c>
      <c r="D486">
        <v>43200</v>
      </c>
      <c r="E486" t="s">
        <v>8</v>
      </c>
      <c r="F486" t="s">
        <v>9</v>
      </c>
    </row>
    <row r="487" spans="1:6" x14ac:dyDescent="0.25">
      <c r="A487">
        <v>486</v>
      </c>
      <c r="B487" t="s">
        <v>182</v>
      </c>
      <c r="C487" t="s">
        <v>465</v>
      </c>
      <c r="D487">
        <v>93700</v>
      </c>
      <c r="E487" t="s">
        <v>38</v>
      </c>
      <c r="F487" t="s">
        <v>20</v>
      </c>
    </row>
    <row r="488" spans="1:6" x14ac:dyDescent="0.25">
      <c r="A488">
        <v>487</v>
      </c>
      <c r="B488" t="s">
        <v>336</v>
      </c>
      <c r="C488" t="s">
        <v>466</v>
      </c>
      <c r="D488">
        <v>33400</v>
      </c>
      <c r="E488" t="s">
        <v>38</v>
      </c>
      <c r="F488" t="s">
        <v>20</v>
      </c>
    </row>
    <row r="489" spans="1:6" x14ac:dyDescent="0.25">
      <c r="A489">
        <v>488</v>
      </c>
      <c r="B489" t="s">
        <v>82</v>
      </c>
      <c r="C489" t="s">
        <v>467</v>
      </c>
      <c r="D489">
        <v>113500</v>
      </c>
      <c r="E489" t="s">
        <v>8</v>
      </c>
      <c r="F489" t="s">
        <v>9</v>
      </c>
    </row>
    <row r="490" spans="1:6" x14ac:dyDescent="0.25">
      <c r="A490">
        <v>489</v>
      </c>
      <c r="B490" t="s">
        <v>110</v>
      </c>
      <c r="C490" t="s">
        <v>468</v>
      </c>
      <c r="D490">
        <v>59800</v>
      </c>
      <c r="E490" t="s">
        <v>23</v>
      </c>
      <c r="F490" t="s">
        <v>9</v>
      </c>
    </row>
    <row r="491" spans="1:6" x14ac:dyDescent="0.25">
      <c r="A491">
        <v>490</v>
      </c>
      <c r="B491" t="s">
        <v>146</v>
      </c>
      <c r="C491" t="s">
        <v>469</v>
      </c>
      <c r="D491">
        <v>113400</v>
      </c>
      <c r="E491" t="s">
        <v>8</v>
      </c>
      <c r="F491" t="s">
        <v>9</v>
      </c>
    </row>
    <row r="492" spans="1:6" x14ac:dyDescent="0.25">
      <c r="A492">
        <v>491</v>
      </c>
      <c r="B492" t="s">
        <v>286</v>
      </c>
      <c r="C492" t="s">
        <v>470</v>
      </c>
      <c r="D492">
        <v>53100</v>
      </c>
      <c r="E492" t="s">
        <v>38</v>
      </c>
      <c r="F492" t="s">
        <v>20</v>
      </c>
    </row>
    <row r="493" spans="1:6" x14ac:dyDescent="0.25">
      <c r="A493">
        <v>492</v>
      </c>
      <c r="B493" t="s">
        <v>206</v>
      </c>
      <c r="C493" t="s">
        <v>471</v>
      </c>
      <c r="D493">
        <v>24000</v>
      </c>
      <c r="E493" t="s">
        <v>38</v>
      </c>
      <c r="F493" t="s">
        <v>20</v>
      </c>
    </row>
    <row r="494" spans="1:6" x14ac:dyDescent="0.25">
      <c r="A494">
        <v>493</v>
      </c>
      <c r="B494" t="s">
        <v>211</v>
      </c>
      <c r="C494" t="s">
        <v>460</v>
      </c>
      <c r="D494">
        <v>22700</v>
      </c>
      <c r="E494" t="s">
        <v>8</v>
      </c>
      <c r="F494" t="s">
        <v>9</v>
      </c>
    </row>
    <row r="495" spans="1:6" x14ac:dyDescent="0.25">
      <c r="A495">
        <v>494</v>
      </c>
      <c r="B495" t="s">
        <v>331</v>
      </c>
      <c r="C495" t="s">
        <v>461</v>
      </c>
      <c r="D495">
        <v>13100</v>
      </c>
      <c r="E495" t="s">
        <v>38</v>
      </c>
      <c r="F495" t="s">
        <v>20</v>
      </c>
    </row>
    <row r="496" spans="1:6" x14ac:dyDescent="0.25">
      <c r="A496">
        <v>495</v>
      </c>
      <c r="B496" t="s">
        <v>170</v>
      </c>
      <c r="C496" t="s">
        <v>462</v>
      </c>
      <c r="D496">
        <v>78300</v>
      </c>
      <c r="E496" t="s">
        <v>8</v>
      </c>
      <c r="F496" t="s">
        <v>9</v>
      </c>
    </row>
    <row r="497" spans="1:6" x14ac:dyDescent="0.25">
      <c r="A497">
        <v>496</v>
      </c>
      <c r="B497" t="s">
        <v>302</v>
      </c>
      <c r="C497" t="s">
        <v>463</v>
      </c>
      <c r="D497">
        <v>5000</v>
      </c>
      <c r="E497" t="s">
        <v>8</v>
      </c>
      <c r="F497" t="s">
        <v>9</v>
      </c>
    </row>
    <row r="498" spans="1:6" x14ac:dyDescent="0.25">
      <c r="A498">
        <v>497</v>
      </c>
      <c r="B498" t="s">
        <v>166</v>
      </c>
      <c r="C498" t="s">
        <v>464</v>
      </c>
      <c r="D498">
        <v>76500</v>
      </c>
      <c r="E498" t="s">
        <v>8</v>
      </c>
      <c r="F498" t="s">
        <v>9</v>
      </c>
    </row>
    <row r="499" spans="1:6" x14ac:dyDescent="0.25">
      <c r="A499">
        <v>498</v>
      </c>
      <c r="B499" t="s">
        <v>331</v>
      </c>
      <c r="C499" t="s">
        <v>465</v>
      </c>
      <c r="D499">
        <v>110700</v>
      </c>
      <c r="E499" t="s">
        <v>8</v>
      </c>
      <c r="F499" t="s">
        <v>9</v>
      </c>
    </row>
    <row r="500" spans="1:6" x14ac:dyDescent="0.25">
      <c r="A500">
        <v>499</v>
      </c>
      <c r="B500" t="s">
        <v>66</v>
      </c>
      <c r="C500" t="s">
        <v>466</v>
      </c>
      <c r="D500">
        <v>55200</v>
      </c>
      <c r="E500" t="s">
        <v>38</v>
      </c>
      <c r="F500" t="s">
        <v>20</v>
      </c>
    </row>
    <row r="501" spans="1:6" x14ac:dyDescent="0.25">
      <c r="A501">
        <v>500</v>
      </c>
      <c r="B501" t="s">
        <v>356</v>
      </c>
      <c r="C501" t="s">
        <v>467</v>
      </c>
      <c r="D501">
        <v>15400</v>
      </c>
      <c r="E501" t="s">
        <v>8</v>
      </c>
      <c r="F501" t="s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396</v>
      </c>
      <c r="C2" t="s">
        <v>472</v>
      </c>
      <c r="D2">
        <v>69900</v>
      </c>
      <c r="E2" t="s">
        <v>8</v>
      </c>
      <c r="F2" t="s">
        <v>9</v>
      </c>
    </row>
    <row r="3" spans="1:6" x14ac:dyDescent="0.25">
      <c r="A3">
        <v>2</v>
      </c>
      <c r="B3" t="s">
        <v>117</v>
      </c>
      <c r="C3" t="s">
        <v>473</v>
      </c>
      <c r="D3">
        <v>109300</v>
      </c>
      <c r="E3" t="s">
        <v>8</v>
      </c>
      <c r="F3" t="s">
        <v>9</v>
      </c>
    </row>
    <row r="4" spans="1:6" x14ac:dyDescent="0.25">
      <c r="A4">
        <v>3</v>
      </c>
      <c r="B4" t="s">
        <v>16</v>
      </c>
      <c r="C4" t="s">
        <v>474</v>
      </c>
      <c r="D4">
        <v>69000</v>
      </c>
      <c r="E4" t="s">
        <v>8</v>
      </c>
      <c r="F4" t="s">
        <v>20</v>
      </c>
    </row>
    <row r="5" spans="1:6" x14ac:dyDescent="0.25">
      <c r="A5">
        <v>4</v>
      </c>
      <c r="B5" t="s">
        <v>245</v>
      </c>
      <c r="C5" t="s">
        <v>475</v>
      </c>
      <c r="D5">
        <v>32600</v>
      </c>
      <c r="E5" t="s">
        <v>8</v>
      </c>
      <c r="F5" t="s">
        <v>9</v>
      </c>
    </row>
    <row r="6" spans="1:6" x14ac:dyDescent="0.25">
      <c r="A6">
        <v>5</v>
      </c>
      <c r="B6" t="s">
        <v>82</v>
      </c>
      <c r="C6" t="s">
        <v>409</v>
      </c>
      <c r="D6">
        <v>66900</v>
      </c>
      <c r="E6" t="s">
        <v>8</v>
      </c>
      <c r="F6" t="s">
        <v>9</v>
      </c>
    </row>
    <row r="7" spans="1:6" x14ac:dyDescent="0.25">
      <c r="A7">
        <v>6</v>
      </c>
      <c r="B7" t="s">
        <v>320</v>
      </c>
      <c r="C7" t="s">
        <v>476</v>
      </c>
      <c r="D7">
        <v>105300</v>
      </c>
      <c r="E7" t="s">
        <v>8</v>
      </c>
      <c r="F7" t="s">
        <v>20</v>
      </c>
    </row>
    <row r="8" spans="1:6" x14ac:dyDescent="0.25">
      <c r="A8">
        <v>7</v>
      </c>
      <c r="B8" t="s">
        <v>137</v>
      </c>
      <c r="C8" t="s">
        <v>477</v>
      </c>
      <c r="D8">
        <v>73400</v>
      </c>
      <c r="E8" t="s">
        <v>38</v>
      </c>
      <c r="F8" t="s">
        <v>9</v>
      </c>
    </row>
    <row r="9" spans="1:6" x14ac:dyDescent="0.25">
      <c r="A9">
        <v>8</v>
      </c>
      <c r="B9" t="s">
        <v>98</v>
      </c>
      <c r="C9" t="s">
        <v>478</v>
      </c>
      <c r="D9">
        <v>335600</v>
      </c>
      <c r="E9" t="s">
        <v>8</v>
      </c>
      <c r="F9" t="s">
        <v>9</v>
      </c>
    </row>
    <row r="10" spans="1:6" x14ac:dyDescent="0.25">
      <c r="A10">
        <v>9</v>
      </c>
      <c r="B10" t="s">
        <v>240</v>
      </c>
      <c r="C10" t="s">
        <v>479</v>
      </c>
      <c r="D10">
        <v>24100</v>
      </c>
      <c r="E10" t="s">
        <v>38</v>
      </c>
      <c r="F10" t="s">
        <v>9</v>
      </c>
    </row>
    <row r="11" spans="1:6" x14ac:dyDescent="0.25">
      <c r="A11">
        <v>10</v>
      </c>
      <c r="B11" t="s">
        <v>353</v>
      </c>
      <c r="C11" t="s">
        <v>480</v>
      </c>
      <c r="D11">
        <v>30500</v>
      </c>
      <c r="E11" t="s">
        <v>8</v>
      </c>
      <c r="F11" t="s">
        <v>9</v>
      </c>
    </row>
    <row r="12" spans="1:6" x14ac:dyDescent="0.25">
      <c r="A12">
        <v>11</v>
      </c>
      <c r="B12" t="s">
        <v>359</v>
      </c>
      <c r="C12" t="s">
        <v>481</v>
      </c>
      <c r="D12">
        <v>85900</v>
      </c>
      <c r="E12" t="s">
        <v>8</v>
      </c>
      <c r="F12" t="s">
        <v>20</v>
      </c>
    </row>
    <row r="13" spans="1:6" x14ac:dyDescent="0.25">
      <c r="A13">
        <v>12</v>
      </c>
      <c r="B13" t="s">
        <v>179</v>
      </c>
      <c r="C13" t="s">
        <v>482</v>
      </c>
      <c r="D13">
        <v>66100</v>
      </c>
      <c r="E13" t="s">
        <v>38</v>
      </c>
      <c r="F13" t="s">
        <v>20</v>
      </c>
    </row>
    <row r="14" spans="1:6" x14ac:dyDescent="0.25">
      <c r="A14">
        <v>13</v>
      </c>
      <c r="B14" t="s">
        <v>155</v>
      </c>
      <c r="C14" t="s">
        <v>472</v>
      </c>
      <c r="D14">
        <v>31700</v>
      </c>
      <c r="E14" t="s">
        <v>38</v>
      </c>
      <c r="F14" t="s">
        <v>9</v>
      </c>
    </row>
    <row r="15" spans="1:6" x14ac:dyDescent="0.25">
      <c r="A15">
        <v>14</v>
      </c>
      <c r="B15" t="s">
        <v>107</v>
      </c>
      <c r="C15" t="s">
        <v>473</v>
      </c>
      <c r="D15">
        <v>23800</v>
      </c>
      <c r="E15" t="s">
        <v>38</v>
      </c>
      <c r="F15" t="s">
        <v>9</v>
      </c>
    </row>
    <row r="16" spans="1:6" x14ac:dyDescent="0.25">
      <c r="A16">
        <v>15</v>
      </c>
      <c r="B16" t="s">
        <v>152</v>
      </c>
      <c r="C16" t="s">
        <v>474</v>
      </c>
      <c r="D16">
        <v>38500</v>
      </c>
      <c r="E16" t="s">
        <v>23</v>
      </c>
      <c r="F16" t="s">
        <v>9</v>
      </c>
    </row>
    <row r="17" spans="1:6" x14ac:dyDescent="0.25">
      <c r="A17">
        <v>16</v>
      </c>
      <c r="B17" t="s">
        <v>218</v>
      </c>
      <c r="C17" t="s">
        <v>475</v>
      </c>
      <c r="D17">
        <v>32300</v>
      </c>
      <c r="E17" t="s">
        <v>8</v>
      </c>
      <c r="F17" t="s">
        <v>9</v>
      </c>
    </row>
    <row r="18" spans="1:6" x14ac:dyDescent="0.25">
      <c r="A18">
        <v>17</v>
      </c>
      <c r="B18" t="s">
        <v>49</v>
      </c>
      <c r="C18" t="s">
        <v>409</v>
      </c>
      <c r="D18">
        <v>44500</v>
      </c>
      <c r="E18" t="s">
        <v>8</v>
      </c>
      <c r="F18" t="s">
        <v>9</v>
      </c>
    </row>
    <row r="19" spans="1:6" x14ac:dyDescent="0.25">
      <c r="A19">
        <v>18</v>
      </c>
      <c r="B19" t="s">
        <v>67</v>
      </c>
      <c r="C19" t="s">
        <v>476</v>
      </c>
      <c r="D19">
        <v>7200</v>
      </c>
      <c r="E19" t="s">
        <v>38</v>
      </c>
      <c r="F19" t="s">
        <v>9</v>
      </c>
    </row>
    <row r="20" spans="1:6" x14ac:dyDescent="0.25">
      <c r="A20">
        <v>19</v>
      </c>
      <c r="B20" t="s">
        <v>186</v>
      </c>
      <c r="C20" t="s">
        <v>477</v>
      </c>
      <c r="D20">
        <v>44600</v>
      </c>
      <c r="E20" t="s">
        <v>8</v>
      </c>
      <c r="F20" t="s">
        <v>9</v>
      </c>
    </row>
    <row r="21" spans="1:6" x14ac:dyDescent="0.25">
      <c r="A21">
        <v>20</v>
      </c>
      <c r="B21" t="s">
        <v>136</v>
      </c>
      <c r="C21" t="s">
        <v>478</v>
      </c>
      <c r="D21">
        <v>9800</v>
      </c>
      <c r="E21" t="s">
        <v>8</v>
      </c>
      <c r="F21" t="s">
        <v>9</v>
      </c>
    </row>
    <row r="22" spans="1:6" x14ac:dyDescent="0.25">
      <c r="A22">
        <v>21</v>
      </c>
      <c r="B22" t="s">
        <v>391</v>
      </c>
      <c r="C22" t="s">
        <v>479</v>
      </c>
      <c r="D22">
        <v>28800</v>
      </c>
      <c r="E22" t="s">
        <v>8</v>
      </c>
      <c r="F22" t="s">
        <v>20</v>
      </c>
    </row>
    <row r="23" spans="1:6" x14ac:dyDescent="0.25">
      <c r="A23">
        <v>22</v>
      </c>
      <c r="B23" t="s">
        <v>95</v>
      </c>
      <c r="C23" t="s">
        <v>480</v>
      </c>
      <c r="D23">
        <v>42800</v>
      </c>
      <c r="E23" t="s">
        <v>8</v>
      </c>
      <c r="F23" t="s">
        <v>9</v>
      </c>
    </row>
    <row r="24" spans="1:6" x14ac:dyDescent="0.25">
      <c r="A24">
        <v>23</v>
      </c>
      <c r="B24" t="s">
        <v>51</v>
      </c>
      <c r="C24" t="s">
        <v>481</v>
      </c>
      <c r="D24">
        <v>15400</v>
      </c>
      <c r="E24" t="s">
        <v>8</v>
      </c>
      <c r="F24" t="s">
        <v>9</v>
      </c>
    </row>
    <row r="25" spans="1:6" x14ac:dyDescent="0.25">
      <c r="A25">
        <v>24</v>
      </c>
      <c r="B25" t="s">
        <v>330</v>
      </c>
      <c r="C25" t="s">
        <v>482</v>
      </c>
      <c r="D25">
        <v>21100</v>
      </c>
      <c r="E25" t="s">
        <v>23</v>
      </c>
      <c r="F25" t="s">
        <v>9</v>
      </c>
    </row>
    <row r="26" spans="1:6" x14ac:dyDescent="0.25">
      <c r="A26">
        <v>25</v>
      </c>
      <c r="B26" t="s">
        <v>70</v>
      </c>
      <c r="C26" t="s">
        <v>472</v>
      </c>
      <c r="D26">
        <v>14300</v>
      </c>
      <c r="E26" t="s">
        <v>8</v>
      </c>
      <c r="F26" t="s">
        <v>9</v>
      </c>
    </row>
    <row r="27" spans="1:6" x14ac:dyDescent="0.25">
      <c r="A27">
        <v>26</v>
      </c>
      <c r="B27" t="s">
        <v>236</v>
      </c>
      <c r="C27" t="s">
        <v>473</v>
      </c>
      <c r="D27">
        <v>75500</v>
      </c>
      <c r="E27" t="s">
        <v>8</v>
      </c>
      <c r="F27" t="s">
        <v>9</v>
      </c>
    </row>
    <row r="28" spans="1:6" x14ac:dyDescent="0.25">
      <c r="A28">
        <v>27</v>
      </c>
      <c r="B28" t="s">
        <v>164</v>
      </c>
      <c r="C28" t="s">
        <v>474</v>
      </c>
      <c r="D28">
        <v>14300</v>
      </c>
      <c r="E28" t="s">
        <v>38</v>
      </c>
      <c r="F28" t="s">
        <v>9</v>
      </c>
    </row>
    <row r="29" spans="1:6" x14ac:dyDescent="0.25">
      <c r="A29">
        <v>28</v>
      </c>
      <c r="B29" t="s">
        <v>276</v>
      </c>
      <c r="C29" t="s">
        <v>475</v>
      </c>
      <c r="D29">
        <v>121200</v>
      </c>
      <c r="E29" t="s">
        <v>8</v>
      </c>
      <c r="F29" t="s">
        <v>9</v>
      </c>
    </row>
    <row r="30" spans="1:6" x14ac:dyDescent="0.25">
      <c r="A30">
        <v>29</v>
      </c>
      <c r="B30" t="s">
        <v>56</v>
      </c>
      <c r="C30" t="s">
        <v>409</v>
      </c>
      <c r="D30">
        <v>40700</v>
      </c>
      <c r="E30" t="s">
        <v>8</v>
      </c>
      <c r="F30" t="s">
        <v>20</v>
      </c>
    </row>
    <row r="31" spans="1:6" x14ac:dyDescent="0.25">
      <c r="A31">
        <v>30</v>
      </c>
      <c r="B31" t="s">
        <v>281</v>
      </c>
      <c r="C31" t="s">
        <v>476</v>
      </c>
      <c r="D31">
        <v>160100</v>
      </c>
      <c r="E31" t="s">
        <v>38</v>
      </c>
      <c r="F31" t="s">
        <v>20</v>
      </c>
    </row>
    <row r="32" spans="1:6" x14ac:dyDescent="0.25">
      <c r="A32">
        <v>31</v>
      </c>
      <c r="B32" t="s">
        <v>327</v>
      </c>
      <c r="C32" t="s">
        <v>477</v>
      </c>
      <c r="D32">
        <v>11600</v>
      </c>
      <c r="E32" t="s">
        <v>23</v>
      </c>
      <c r="F32" t="s">
        <v>9</v>
      </c>
    </row>
    <row r="33" spans="1:6" x14ac:dyDescent="0.25">
      <c r="A33">
        <v>32</v>
      </c>
      <c r="B33" t="s">
        <v>398</v>
      </c>
      <c r="C33" t="s">
        <v>478</v>
      </c>
      <c r="D33">
        <v>59600</v>
      </c>
      <c r="E33" t="s">
        <v>8</v>
      </c>
      <c r="F33" t="s">
        <v>9</v>
      </c>
    </row>
    <row r="34" spans="1:6" x14ac:dyDescent="0.25">
      <c r="A34">
        <v>33</v>
      </c>
      <c r="B34" t="s">
        <v>102</v>
      </c>
      <c r="C34" t="s">
        <v>479</v>
      </c>
      <c r="D34">
        <v>24800</v>
      </c>
      <c r="E34" t="s">
        <v>8</v>
      </c>
      <c r="F34" t="s">
        <v>9</v>
      </c>
    </row>
    <row r="35" spans="1:6" x14ac:dyDescent="0.25">
      <c r="A35">
        <v>34</v>
      </c>
      <c r="B35" t="s">
        <v>50</v>
      </c>
      <c r="C35" t="s">
        <v>480</v>
      </c>
      <c r="D35">
        <v>14900</v>
      </c>
      <c r="E35" t="s">
        <v>8</v>
      </c>
      <c r="F35" t="s">
        <v>9</v>
      </c>
    </row>
    <row r="36" spans="1:6" x14ac:dyDescent="0.25">
      <c r="A36">
        <v>35</v>
      </c>
      <c r="B36" t="s">
        <v>123</v>
      </c>
      <c r="C36" t="s">
        <v>481</v>
      </c>
      <c r="D36">
        <v>96600</v>
      </c>
      <c r="E36" t="s">
        <v>8</v>
      </c>
      <c r="F36" t="s">
        <v>9</v>
      </c>
    </row>
    <row r="37" spans="1:6" x14ac:dyDescent="0.25">
      <c r="A37">
        <v>36</v>
      </c>
      <c r="B37" t="s">
        <v>59</v>
      </c>
      <c r="C37" t="s">
        <v>482</v>
      </c>
      <c r="D37">
        <v>38400</v>
      </c>
      <c r="E37" t="s">
        <v>8</v>
      </c>
      <c r="F37" t="s">
        <v>9</v>
      </c>
    </row>
    <row r="38" spans="1:6" x14ac:dyDescent="0.25">
      <c r="A38">
        <v>37</v>
      </c>
      <c r="B38" t="s">
        <v>370</v>
      </c>
      <c r="C38" t="s">
        <v>472</v>
      </c>
      <c r="D38">
        <v>10000</v>
      </c>
      <c r="E38" t="s">
        <v>8</v>
      </c>
      <c r="F38" t="s">
        <v>9</v>
      </c>
    </row>
    <row r="39" spans="1:6" x14ac:dyDescent="0.25">
      <c r="A39">
        <v>38</v>
      </c>
      <c r="B39" t="s">
        <v>421</v>
      </c>
      <c r="C39" t="s">
        <v>473</v>
      </c>
      <c r="D39">
        <v>59000</v>
      </c>
      <c r="E39" t="s">
        <v>8</v>
      </c>
      <c r="F39" t="s">
        <v>20</v>
      </c>
    </row>
    <row r="40" spans="1:6" x14ac:dyDescent="0.25">
      <c r="A40">
        <v>39</v>
      </c>
      <c r="B40" t="s">
        <v>245</v>
      </c>
      <c r="C40" t="s">
        <v>474</v>
      </c>
      <c r="D40">
        <v>58900</v>
      </c>
      <c r="E40" t="s">
        <v>23</v>
      </c>
      <c r="F40" t="s">
        <v>9</v>
      </c>
    </row>
    <row r="41" spans="1:6" x14ac:dyDescent="0.25">
      <c r="A41">
        <v>40</v>
      </c>
      <c r="B41" t="s">
        <v>160</v>
      </c>
      <c r="C41" t="s">
        <v>475</v>
      </c>
      <c r="D41">
        <v>8400</v>
      </c>
      <c r="E41" t="s">
        <v>23</v>
      </c>
      <c r="F41" t="s">
        <v>20</v>
      </c>
    </row>
    <row r="42" spans="1:6" x14ac:dyDescent="0.25">
      <c r="A42">
        <v>41</v>
      </c>
      <c r="B42" t="s">
        <v>129</v>
      </c>
      <c r="C42" t="s">
        <v>409</v>
      </c>
      <c r="D42">
        <v>70000</v>
      </c>
      <c r="E42" t="s">
        <v>8</v>
      </c>
      <c r="F42" t="s">
        <v>9</v>
      </c>
    </row>
    <row r="43" spans="1:6" x14ac:dyDescent="0.25">
      <c r="A43">
        <v>42</v>
      </c>
      <c r="B43" t="s">
        <v>58</v>
      </c>
      <c r="C43" t="s">
        <v>476</v>
      </c>
      <c r="D43">
        <v>97000</v>
      </c>
      <c r="E43" t="s">
        <v>8</v>
      </c>
      <c r="F43" t="s">
        <v>20</v>
      </c>
    </row>
    <row r="44" spans="1:6" x14ac:dyDescent="0.25">
      <c r="A44">
        <v>43</v>
      </c>
      <c r="B44" t="s">
        <v>51</v>
      </c>
      <c r="C44" t="s">
        <v>477</v>
      </c>
      <c r="D44">
        <v>9200</v>
      </c>
      <c r="E44" t="s">
        <v>8</v>
      </c>
      <c r="F44" t="s">
        <v>9</v>
      </c>
    </row>
    <row r="45" spans="1:6" x14ac:dyDescent="0.25">
      <c r="A45">
        <v>44</v>
      </c>
      <c r="B45" t="s">
        <v>144</v>
      </c>
      <c r="C45" t="s">
        <v>478</v>
      </c>
      <c r="D45">
        <v>5600</v>
      </c>
      <c r="E45" t="s">
        <v>8</v>
      </c>
      <c r="F45" t="s">
        <v>9</v>
      </c>
    </row>
    <row r="46" spans="1:6" x14ac:dyDescent="0.25">
      <c r="A46">
        <v>45</v>
      </c>
      <c r="B46" t="s">
        <v>81</v>
      </c>
      <c r="C46" t="s">
        <v>479</v>
      </c>
      <c r="D46">
        <v>41800</v>
      </c>
      <c r="E46" t="s">
        <v>8</v>
      </c>
      <c r="F46" t="s">
        <v>9</v>
      </c>
    </row>
    <row r="47" spans="1:6" x14ac:dyDescent="0.25">
      <c r="A47">
        <v>46</v>
      </c>
      <c r="B47" t="s">
        <v>203</v>
      </c>
      <c r="C47" t="s">
        <v>480</v>
      </c>
      <c r="D47">
        <v>16500</v>
      </c>
      <c r="E47" t="s">
        <v>38</v>
      </c>
      <c r="F47" t="s">
        <v>9</v>
      </c>
    </row>
    <row r="48" spans="1:6" x14ac:dyDescent="0.25">
      <c r="A48">
        <v>47</v>
      </c>
      <c r="B48" t="s">
        <v>170</v>
      </c>
      <c r="C48" t="s">
        <v>481</v>
      </c>
      <c r="D48">
        <v>46500</v>
      </c>
      <c r="E48" t="s">
        <v>8</v>
      </c>
      <c r="F48" t="s">
        <v>9</v>
      </c>
    </row>
    <row r="49" spans="1:6" x14ac:dyDescent="0.25">
      <c r="A49">
        <v>48</v>
      </c>
      <c r="B49" t="s">
        <v>28</v>
      </c>
      <c r="C49" t="s">
        <v>482</v>
      </c>
      <c r="D49">
        <v>11000</v>
      </c>
      <c r="E49" t="s">
        <v>8</v>
      </c>
      <c r="F49" t="s">
        <v>9</v>
      </c>
    </row>
    <row r="50" spans="1:6" x14ac:dyDescent="0.25">
      <c r="A50">
        <v>49</v>
      </c>
      <c r="B50" t="s">
        <v>174</v>
      </c>
      <c r="C50" t="s">
        <v>472</v>
      </c>
      <c r="D50">
        <v>7800</v>
      </c>
      <c r="E50" t="s">
        <v>8</v>
      </c>
      <c r="F50" t="s">
        <v>9</v>
      </c>
    </row>
    <row r="51" spans="1:6" x14ac:dyDescent="0.25">
      <c r="A51">
        <v>50</v>
      </c>
      <c r="B51" t="s">
        <v>358</v>
      </c>
      <c r="C51" t="s">
        <v>473</v>
      </c>
      <c r="D51">
        <v>44600</v>
      </c>
      <c r="E51" t="s">
        <v>38</v>
      </c>
      <c r="F51" t="s">
        <v>20</v>
      </c>
    </row>
    <row r="52" spans="1:6" x14ac:dyDescent="0.25">
      <c r="A52">
        <v>51</v>
      </c>
      <c r="B52" t="s">
        <v>169</v>
      </c>
      <c r="C52" t="s">
        <v>474</v>
      </c>
      <c r="D52">
        <v>11100</v>
      </c>
      <c r="E52" t="s">
        <v>8</v>
      </c>
      <c r="F52" t="s">
        <v>20</v>
      </c>
    </row>
    <row r="53" spans="1:6" x14ac:dyDescent="0.25">
      <c r="A53">
        <v>52</v>
      </c>
      <c r="B53" t="s">
        <v>240</v>
      </c>
      <c r="C53" t="s">
        <v>475</v>
      </c>
      <c r="D53">
        <v>8100</v>
      </c>
      <c r="E53" t="s">
        <v>38</v>
      </c>
      <c r="F53" t="s">
        <v>9</v>
      </c>
    </row>
    <row r="54" spans="1:6" x14ac:dyDescent="0.25">
      <c r="A54">
        <v>53</v>
      </c>
      <c r="B54" t="s">
        <v>187</v>
      </c>
      <c r="C54" t="s">
        <v>409</v>
      </c>
      <c r="D54">
        <v>28200</v>
      </c>
      <c r="E54" t="s">
        <v>23</v>
      </c>
      <c r="F54" t="s">
        <v>9</v>
      </c>
    </row>
    <row r="55" spans="1:6" x14ac:dyDescent="0.25">
      <c r="A55">
        <v>54</v>
      </c>
      <c r="B55" t="s">
        <v>195</v>
      </c>
      <c r="C55" t="s">
        <v>476</v>
      </c>
      <c r="D55">
        <v>36800</v>
      </c>
      <c r="E55" t="s">
        <v>8</v>
      </c>
      <c r="F55" t="s">
        <v>9</v>
      </c>
    </row>
    <row r="56" spans="1:6" x14ac:dyDescent="0.25">
      <c r="A56">
        <v>55</v>
      </c>
      <c r="B56" t="s">
        <v>194</v>
      </c>
      <c r="C56" t="s">
        <v>477</v>
      </c>
      <c r="D56">
        <v>9000</v>
      </c>
      <c r="E56" t="s">
        <v>8</v>
      </c>
      <c r="F56" t="s">
        <v>9</v>
      </c>
    </row>
    <row r="57" spans="1:6" x14ac:dyDescent="0.25">
      <c r="A57">
        <v>56</v>
      </c>
      <c r="B57" t="s">
        <v>73</v>
      </c>
      <c r="C57" t="s">
        <v>478</v>
      </c>
      <c r="D57">
        <v>11700</v>
      </c>
      <c r="E57" t="s">
        <v>38</v>
      </c>
      <c r="F57" t="s">
        <v>9</v>
      </c>
    </row>
    <row r="58" spans="1:6" x14ac:dyDescent="0.25">
      <c r="A58">
        <v>57</v>
      </c>
      <c r="B58" t="s">
        <v>259</v>
      </c>
      <c r="C58" t="s">
        <v>479</v>
      </c>
      <c r="D58">
        <v>83900</v>
      </c>
      <c r="E58" t="s">
        <v>8</v>
      </c>
      <c r="F58" t="s">
        <v>9</v>
      </c>
    </row>
    <row r="59" spans="1:6" x14ac:dyDescent="0.25">
      <c r="A59">
        <v>58</v>
      </c>
      <c r="B59" t="s">
        <v>42</v>
      </c>
      <c r="C59" t="s">
        <v>480</v>
      </c>
      <c r="D59">
        <v>43800</v>
      </c>
      <c r="E59" t="s">
        <v>8</v>
      </c>
      <c r="F59" t="s">
        <v>9</v>
      </c>
    </row>
    <row r="60" spans="1:6" x14ac:dyDescent="0.25">
      <c r="A60">
        <v>59</v>
      </c>
      <c r="B60" t="s">
        <v>148</v>
      </c>
      <c r="C60" t="s">
        <v>481</v>
      </c>
      <c r="D60">
        <v>50500</v>
      </c>
      <c r="E60" t="s">
        <v>8</v>
      </c>
      <c r="F60" t="s">
        <v>9</v>
      </c>
    </row>
    <row r="61" spans="1:6" x14ac:dyDescent="0.25">
      <c r="A61">
        <v>60</v>
      </c>
      <c r="B61" t="s">
        <v>66</v>
      </c>
      <c r="C61" t="s">
        <v>482</v>
      </c>
      <c r="D61">
        <v>9200</v>
      </c>
      <c r="E61" t="s">
        <v>8</v>
      </c>
      <c r="F61" t="s">
        <v>9</v>
      </c>
    </row>
    <row r="62" spans="1:6" x14ac:dyDescent="0.25">
      <c r="A62">
        <v>61</v>
      </c>
      <c r="B62" t="s">
        <v>163</v>
      </c>
      <c r="C62" t="s">
        <v>472</v>
      </c>
      <c r="D62">
        <v>55100</v>
      </c>
      <c r="E62" t="s">
        <v>8</v>
      </c>
      <c r="F62" t="s">
        <v>9</v>
      </c>
    </row>
    <row r="63" spans="1:6" x14ac:dyDescent="0.25">
      <c r="A63">
        <v>62</v>
      </c>
      <c r="B63" t="s">
        <v>146</v>
      </c>
      <c r="C63" t="s">
        <v>473</v>
      </c>
      <c r="D63">
        <v>27000</v>
      </c>
      <c r="E63" t="s">
        <v>8</v>
      </c>
      <c r="F63" t="s">
        <v>9</v>
      </c>
    </row>
    <row r="64" spans="1:6" x14ac:dyDescent="0.25">
      <c r="A64">
        <v>63</v>
      </c>
      <c r="B64" t="s">
        <v>394</v>
      </c>
      <c r="C64" t="s">
        <v>474</v>
      </c>
      <c r="D64">
        <v>300700</v>
      </c>
      <c r="E64" t="s">
        <v>8</v>
      </c>
      <c r="F64" t="s">
        <v>9</v>
      </c>
    </row>
    <row r="65" spans="1:6" x14ac:dyDescent="0.25">
      <c r="A65">
        <v>64</v>
      </c>
      <c r="B65" t="s">
        <v>59</v>
      </c>
      <c r="C65" t="s">
        <v>475</v>
      </c>
      <c r="D65">
        <v>13700</v>
      </c>
      <c r="E65" t="s">
        <v>8</v>
      </c>
      <c r="F65" t="s">
        <v>20</v>
      </c>
    </row>
    <row r="66" spans="1:6" x14ac:dyDescent="0.25">
      <c r="A66">
        <v>65</v>
      </c>
      <c r="B66" t="s">
        <v>47</v>
      </c>
      <c r="C66" t="s">
        <v>409</v>
      </c>
      <c r="D66">
        <v>14900</v>
      </c>
      <c r="E66" t="s">
        <v>23</v>
      </c>
      <c r="F66" t="s">
        <v>9</v>
      </c>
    </row>
    <row r="67" spans="1:6" x14ac:dyDescent="0.25">
      <c r="A67">
        <v>66</v>
      </c>
      <c r="B67" t="s">
        <v>366</v>
      </c>
      <c r="C67" t="s">
        <v>476</v>
      </c>
      <c r="D67">
        <v>22600</v>
      </c>
      <c r="E67" t="s">
        <v>8</v>
      </c>
      <c r="F67" t="s">
        <v>20</v>
      </c>
    </row>
    <row r="68" spans="1:6" x14ac:dyDescent="0.25">
      <c r="A68">
        <v>67</v>
      </c>
      <c r="B68" t="s">
        <v>330</v>
      </c>
      <c r="C68" t="s">
        <v>477</v>
      </c>
      <c r="D68">
        <v>75800</v>
      </c>
      <c r="E68" t="s">
        <v>8</v>
      </c>
      <c r="F68" t="s">
        <v>9</v>
      </c>
    </row>
    <row r="69" spans="1:6" x14ac:dyDescent="0.25">
      <c r="A69">
        <v>68</v>
      </c>
      <c r="B69" t="s">
        <v>231</v>
      </c>
      <c r="C69" t="s">
        <v>478</v>
      </c>
      <c r="D69">
        <v>42400</v>
      </c>
      <c r="E69" t="s">
        <v>8</v>
      </c>
      <c r="F69" t="s">
        <v>20</v>
      </c>
    </row>
    <row r="70" spans="1:6" x14ac:dyDescent="0.25">
      <c r="A70">
        <v>69</v>
      </c>
      <c r="B70" t="s">
        <v>228</v>
      </c>
      <c r="C70" t="s">
        <v>479</v>
      </c>
      <c r="D70">
        <v>5000</v>
      </c>
      <c r="E70" t="s">
        <v>8</v>
      </c>
      <c r="F70" t="s">
        <v>20</v>
      </c>
    </row>
    <row r="71" spans="1:6" x14ac:dyDescent="0.25">
      <c r="A71">
        <v>70</v>
      </c>
      <c r="B71" t="s">
        <v>26</v>
      </c>
      <c r="C71" t="s">
        <v>480</v>
      </c>
      <c r="D71">
        <v>35700</v>
      </c>
      <c r="E71" t="s">
        <v>8</v>
      </c>
      <c r="F71" t="s">
        <v>9</v>
      </c>
    </row>
    <row r="72" spans="1:6" x14ac:dyDescent="0.25">
      <c r="A72">
        <v>71</v>
      </c>
      <c r="B72" t="s">
        <v>245</v>
      </c>
      <c r="C72" t="s">
        <v>481</v>
      </c>
      <c r="D72">
        <v>34900</v>
      </c>
      <c r="E72" t="s">
        <v>23</v>
      </c>
      <c r="F72" t="s">
        <v>9</v>
      </c>
    </row>
    <row r="73" spans="1:6" x14ac:dyDescent="0.25">
      <c r="A73">
        <v>72</v>
      </c>
      <c r="B73" t="s">
        <v>82</v>
      </c>
      <c r="C73" t="s">
        <v>482</v>
      </c>
      <c r="D73">
        <v>17100</v>
      </c>
      <c r="E73" t="s">
        <v>38</v>
      </c>
      <c r="F73" t="s">
        <v>9</v>
      </c>
    </row>
    <row r="74" spans="1:6" x14ac:dyDescent="0.25">
      <c r="A74">
        <v>73</v>
      </c>
      <c r="B74" t="s">
        <v>80</v>
      </c>
      <c r="C74" t="s">
        <v>472</v>
      </c>
      <c r="D74">
        <v>58100</v>
      </c>
      <c r="E74" t="s">
        <v>23</v>
      </c>
      <c r="F74" t="s">
        <v>20</v>
      </c>
    </row>
    <row r="75" spans="1:6" x14ac:dyDescent="0.25">
      <c r="A75">
        <v>74</v>
      </c>
      <c r="B75" t="s">
        <v>91</v>
      </c>
      <c r="C75" t="s">
        <v>473</v>
      </c>
      <c r="D75">
        <v>32100</v>
      </c>
      <c r="E75" t="s">
        <v>8</v>
      </c>
      <c r="F75" t="s">
        <v>9</v>
      </c>
    </row>
    <row r="76" spans="1:6" x14ac:dyDescent="0.25">
      <c r="A76">
        <v>75</v>
      </c>
      <c r="B76" t="s">
        <v>310</v>
      </c>
      <c r="C76" t="s">
        <v>474</v>
      </c>
      <c r="D76">
        <v>82800</v>
      </c>
      <c r="E76" t="s">
        <v>38</v>
      </c>
      <c r="F76" t="s">
        <v>9</v>
      </c>
    </row>
    <row r="77" spans="1:6" x14ac:dyDescent="0.25">
      <c r="A77">
        <v>76</v>
      </c>
      <c r="B77" t="s">
        <v>69</v>
      </c>
      <c r="C77" t="s">
        <v>475</v>
      </c>
      <c r="D77">
        <v>283900</v>
      </c>
      <c r="E77" t="s">
        <v>8</v>
      </c>
      <c r="F77" t="s">
        <v>9</v>
      </c>
    </row>
    <row r="78" spans="1:6" x14ac:dyDescent="0.25">
      <c r="A78">
        <v>77</v>
      </c>
      <c r="B78" t="s">
        <v>315</v>
      </c>
      <c r="C78" t="s">
        <v>409</v>
      </c>
      <c r="D78">
        <v>85900</v>
      </c>
      <c r="E78" t="s">
        <v>38</v>
      </c>
      <c r="F78" t="s">
        <v>9</v>
      </c>
    </row>
    <row r="79" spans="1:6" x14ac:dyDescent="0.25">
      <c r="A79">
        <v>78</v>
      </c>
      <c r="B79" t="s">
        <v>319</v>
      </c>
      <c r="C79" t="s">
        <v>476</v>
      </c>
      <c r="D79">
        <v>22700</v>
      </c>
      <c r="E79" t="s">
        <v>8</v>
      </c>
      <c r="F79" t="s">
        <v>9</v>
      </c>
    </row>
    <row r="80" spans="1:6" x14ac:dyDescent="0.25">
      <c r="A80">
        <v>79</v>
      </c>
      <c r="B80" t="s">
        <v>280</v>
      </c>
      <c r="C80" t="s">
        <v>477</v>
      </c>
      <c r="D80">
        <v>7700</v>
      </c>
      <c r="E80" t="s">
        <v>23</v>
      </c>
      <c r="F80" t="s">
        <v>9</v>
      </c>
    </row>
    <row r="81" spans="1:6" x14ac:dyDescent="0.25">
      <c r="A81">
        <v>80</v>
      </c>
      <c r="B81" t="s">
        <v>96</v>
      </c>
      <c r="C81" t="s">
        <v>478</v>
      </c>
      <c r="D81">
        <v>15600</v>
      </c>
      <c r="E81" t="s">
        <v>8</v>
      </c>
      <c r="F81" t="s">
        <v>9</v>
      </c>
    </row>
    <row r="82" spans="1:6" x14ac:dyDescent="0.25">
      <c r="A82">
        <v>81</v>
      </c>
      <c r="B82" t="s">
        <v>213</v>
      </c>
      <c r="C82" t="s">
        <v>479</v>
      </c>
      <c r="D82">
        <v>23600</v>
      </c>
      <c r="E82" t="s">
        <v>38</v>
      </c>
      <c r="F82" t="s">
        <v>9</v>
      </c>
    </row>
    <row r="83" spans="1:6" x14ac:dyDescent="0.25">
      <c r="A83">
        <v>82</v>
      </c>
      <c r="B83" t="s">
        <v>169</v>
      </c>
      <c r="C83" t="s">
        <v>480</v>
      </c>
      <c r="D83">
        <v>15800</v>
      </c>
      <c r="E83" t="s">
        <v>23</v>
      </c>
      <c r="F83" t="s">
        <v>9</v>
      </c>
    </row>
    <row r="84" spans="1:6" x14ac:dyDescent="0.25">
      <c r="A84">
        <v>83</v>
      </c>
      <c r="B84" t="s">
        <v>74</v>
      </c>
      <c r="C84" t="s">
        <v>481</v>
      </c>
      <c r="D84">
        <v>10700</v>
      </c>
      <c r="E84" t="s">
        <v>8</v>
      </c>
      <c r="F84" t="s">
        <v>9</v>
      </c>
    </row>
    <row r="85" spans="1:6" x14ac:dyDescent="0.25">
      <c r="A85">
        <v>84</v>
      </c>
      <c r="B85" t="s">
        <v>30</v>
      </c>
      <c r="C85" t="s">
        <v>482</v>
      </c>
      <c r="D85">
        <v>192800</v>
      </c>
      <c r="E85" t="s">
        <v>23</v>
      </c>
      <c r="F85" t="s">
        <v>9</v>
      </c>
    </row>
    <row r="86" spans="1:6" x14ac:dyDescent="0.25">
      <c r="A86">
        <v>85</v>
      </c>
      <c r="B86" t="s">
        <v>269</v>
      </c>
      <c r="C86" t="s">
        <v>472</v>
      </c>
      <c r="D86">
        <v>176100</v>
      </c>
      <c r="E86" t="s">
        <v>8</v>
      </c>
      <c r="F86" t="s">
        <v>9</v>
      </c>
    </row>
    <row r="87" spans="1:6" x14ac:dyDescent="0.25">
      <c r="A87">
        <v>86</v>
      </c>
      <c r="B87" t="s">
        <v>337</v>
      </c>
      <c r="C87" t="s">
        <v>473</v>
      </c>
      <c r="D87">
        <v>7700</v>
      </c>
      <c r="E87" t="s">
        <v>8</v>
      </c>
      <c r="F87" t="s">
        <v>20</v>
      </c>
    </row>
    <row r="88" spans="1:6" x14ac:dyDescent="0.25">
      <c r="A88">
        <v>87</v>
      </c>
      <c r="B88" t="s">
        <v>110</v>
      </c>
      <c r="C88" t="s">
        <v>474</v>
      </c>
      <c r="D88">
        <v>23100</v>
      </c>
      <c r="E88" t="s">
        <v>8</v>
      </c>
      <c r="F88" t="s">
        <v>9</v>
      </c>
    </row>
    <row r="89" spans="1:6" x14ac:dyDescent="0.25">
      <c r="A89">
        <v>88</v>
      </c>
      <c r="B89" t="s">
        <v>193</v>
      </c>
      <c r="C89" t="s">
        <v>475</v>
      </c>
      <c r="D89">
        <v>31900</v>
      </c>
      <c r="E89" t="s">
        <v>8</v>
      </c>
      <c r="F89" t="s">
        <v>9</v>
      </c>
    </row>
    <row r="90" spans="1:6" x14ac:dyDescent="0.25">
      <c r="A90">
        <v>89</v>
      </c>
      <c r="B90" t="s">
        <v>78</v>
      </c>
      <c r="C90" t="s">
        <v>409</v>
      </c>
      <c r="D90">
        <v>44200</v>
      </c>
      <c r="E90" t="s">
        <v>23</v>
      </c>
      <c r="F90" t="s">
        <v>9</v>
      </c>
    </row>
    <row r="91" spans="1:6" x14ac:dyDescent="0.25">
      <c r="A91">
        <v>90</v>
      </c>
      <c r="B91" t="s">
        <v>317</v>
      </c>
      <c r="C91" t="s">
        <v>476</v>
      </c>
      <c r="D91">
        <v>80000</v>
      </c>
      <c r="E91" t="s">
        <v>8</v>
      </c>
      <c r="F91" t="s">
        <v>20</v>
      </c>
    </row>
    <row r="92" spans="1:6" x14ac:dyDescent="0.25">
      <c r="A92">
        <v>91</v>
      </c>
      <c r="B92" t="s">
        <v>221</v>
      </c>
      <c r="C92" t="s">
        <v>477</v>
      </c>
      <c r="D92">
        <v>8300</v>
      </c>
      <c r="E92" t="s">
        <v>23</v>
      </c>
      <c r="F92" t="s">
        <v>9</v>
      </c>
    </row>
    <row r="93" spans="1:6" x14ac:dyDescent="0.25">
      <c r="A93">
        <v>92</v>
      </c>
      <c r="B93" t="s">
        <v>210</v>
      </c>
      <c r="C93" t="s">
        <v>477</v>
      </c>
      <c r="D93">
        <v>0</v>
      </c>
      <c r="E93" t="s">
        <v>8</v>
      </c>
      <c r="F93" t="s">
        <v>9</v>
      </c>
    </row>
    <row r="94" spans="1:6" x14ac:dyDescent="0.25">
      <c r="A94">
        <v>93</v>
      </c>
      <c r="B94" t="s">
        <v>81</v>
      </c>
      <c r="C94" t="s">
        <v>479</v>
      </c>
      <c r="D94">
        <v>17300</v>
      </c>
      <c r="E94" t="s">
        <v>23</v>
      </c>
      <c r="F94" t="s">
        <v>9</v>
      </c>
    </row>
    <row r="95" spans="1:6" x14ac:dyDescent="0.25">
      <c r="A95">
        <v>94</v>
      </c>
      <c r="B95" t="s">
        <v>76</v>
      </c>
      <c r="C95" t="s">
        <v>480</v>
      </c>
      <c r="D95">
        <v>60500</v>
      </c>
      <c r="E95" t="s">
        <v>38</v>
      </c>
      <c r="F95" t="s">
        <v>20</v>
      </c>
    </row>
    <row r="96" spans="1:6" x14ac:dyDescent="0.25">
      <c r="A96">
        <v>95</v>
      </c>
      <c r="B96" t="s">
        <v>185</v>
      </c>
      <c r="C96" t="s">
        <v>481</v>
      </c>
      <c r="D96">
        <v>142500</v>
      </c>
      <c r="E96" t="s">
        <v>38</v>
      </c>
      <c r="F96" t="s">
        <v>9</v>
      </c>
    </row>
    <row r="97" spans="1:6" x14ac:dyDescent="0.25">
      <c r="A97">
        <v>96</v>
      </c>
      <c r="B97" t="s">
        <v>198</v>
      </c>
      <c r="C97" t="s">
        <v>482</v>
      </c>
      <c r="D97">
        <v>21400</v>
      </c>
      <c r="E97" t="s">
        <v>8</v>
      </c>
      <c r="F97" t="s">
        <v>9</v>
      </c>
    </row>
    <row r="98" spans="1:6" x14ac:dyDescent="0.25">
      <c r="A98">
        <v>97</v>
      </c>
      <c r="B98" t="s">
        <v>202</v>
      </c>
      <c r="C98" t="s">
        <v>472</v>
      </c>
      <c r="D98">
        <v>197900</v>
      </c>
      <c r="E98" t="s">
        <v>8</v>
      </c>
      <c r="F98" t="s">
        <v>9</v>
      </c>
    </row>
    <row r="99" spans="1:6" x14ac:dyDescent="0.25">
      <c r="A99">
        <v>98</v>
      </c>
      <c r="B99" t="s">
        <v>334</v>
      </c>
      <c r="C99" t="s">
        <v>473</v>
      </c>
      <c r="D99">
        <v>84500</v>
      </c>
      <c r="E99" t="s">
        <v>8</v>
      </c>
      <c r="F99" t="s">
        <v>9</v>
      </c>
    </row>
    <row r="100" spans="1:6" x14ac:dyDescent="0.25">
      <c r="A100">
        <v>99</v>
      </c>
      <c r="B100" t="s">
        <v>341</v>
      </c>
      <c r="C100" t="s">
        <v>474</v>
      </c>
      <c r="D100">
        <v>32800</v>
      </c>
      <c r="E100" t="s">
        <v>38</v>
      </c>
      <c r="F100" t="s">
        <v>9</v>
      </c>
    </row>
    <row r="101" spans="1:6" x14ac:dyDescent="0.25">
      <c r="A101">
        <v>100</v>
      </c>
      <c r="B101" t="s">
        <v>356</v>
      </c>
      <c r="C101" t="s">
        <v>475</v>
      </c>
      <c r="D101">
        <v>68900</v>
      </c>
      <c r="E101" t="s">
        <v>8</v>
      </c>
      <c r="F101" t="s">
        <v>9</v>
      </c>
    </row>
    <row r="102" spans="1:6" x14ac:dyDescent="0.25">
      <c r="A102">
        <v>101</v>
      </c>
      <c r="B102" t="s">
        <v>21</v>
      </c>
      <c r="C102" t="s">
        <v>409</v>
      </c>
      <c r="D102">
        <v>62300</v>
      </c>
      <c r="E102" t="s">
        <v>8</v>
      </c>
      <c r="F102" t="s">
        <v>20</v>
      </c>
    </row>
    <row r="103" spans="1:6" x14ac:dyDescent="0.25">
      <c r="A103">
        <v>102</v>
      </c>
      <c r="B103" t="s">
        <v>63</v>
      </c>
      <c r="C103" t="s">
        <v>476</v>
      </c>
      <c r="D103">
        <v>14000</v>
      </c>
      <c r="E103" t="s">
        <v>8</v>
      </c>
      <c r="F103" t="s">
        <v>9</v>
      </c>
    </row>
    <row r="104" spans="1:6" x14ac:dyDescent="0.25">
      <c r="A104">
        <v>103</v>
      </c>
      <c r="B104" t="s">
        <v>150</v>
      </c>
      <c r="C104" t="s">
        <v>477</v>
      </c>
      <c r="D104">
        <v>24200</v>
      </c>
      <c r="E104" t="s">
        <v>8</v>
      </c>
      <c r="F104" t="s">
        <v>9</v>
      </c>
    </row>
    <row r="105" spans="1:6" x14ac:dyDescent="0.25">
      <c r="A105">
        <v>104</v>
      </c>
      <c r="B105" t="s">
        <v>211</v>
      </c>
      <c r="C105" t="s">
        <v>478</v>
      </c>
      <c r="D105">
        <v>80900</v>
      </c>
      <c r="E105" t="s">
        <v>8</v>
      </c>
      <c r="F105" t="s">
        <v>9</v>
      </c>
    </row>
    <row r="106" spans="1:6" x14ac:dyDescent="0.25">
      <c r="A106">
        <v>105</v>
      </c>
      <c r="B106" t="s">
        <v>34</v>
      </c>
      <c r="C106" t="s">
        <v>479</v>
      </c>
      <c r="D106">
        <v>106700</v>
      </c>
      <c r="E106" t="s">
        <v>8</v>
      </c>
      <c r="F106" t="s">
        <v>9</v>
      </c>
    </row>
    <row r="107" spans="1:6" x14ac:dyDescent="0.25">
      <c r="A107">
        <v>106</v>
      </c>
      <c r="B107" t="s">
        <v>171</v>
      </c>
      <c r="C107" t="s">
        <v>480</v>
      </c>
      <c r="D107">
        <v>53500</v>
      </c>
      <c r="E107" t="s">
        <v>38</v>
      </c>
      <c r="F107" t="s">
        <v>9</v>
      </c>
    </row>
    <row r="108" spans="1:6" x14ac:dyDescent="0.25">
      <c r="A108">
        <v>107</v>
      </c>
      <c r="B108" t="s">
        <v>302</v>
      </c>
      <c r="C108" t="s">
        <v>481</v>
      </c>
      <c r="D108">
        <v>252400</v>
      </c>
      <c r="E108" t="s">
        <v>8</v>
      </c>
      <c r="F108" t="s">
        <v>9</v>
      </c>
    </row>
    <row r="109" spans="1:6" x14ac:dyDescent="0.25">
      <c r="A109">
        <v>108</v>
      </c>
      <c r="B109" t="s">
        <v>326</v>
      </c>
      <c r="C109" t="s">
        <v>482</v>
      </c>
      <c r="D109">
        <v>16700</v>
      </c>
      <c r="E109" t="s">
        <v>8</v>
      </c>
      <c r="F109" t="s">
        <v>9</v>
      </c>
    </row>
    <row r="110" spans="1:6" x14ac:dyDescent="0.25">
      <c r="A110">
        <v>109</v>
      </c>
      <c r="B110" t="s">
        <v>117</v>
      </c>
      <c r="C110" t="s">
        <v>472</v>
      </c>
      <c r="D110">
        <v>74400</v>
      </c>
      <c r="E110" t="s">
        <v>23</v>
      </c>
      <c r="F110" t="s">
        <v>9</v>
      </c>
    </row>
    <row r="111" spans="1:6" x14ac:dyDescent="0.25">
      <c r="A111">
        <v>110</v>
      </c>
      <c r="B111" t="s">
        <v>164</v>
      </c>
      <c r="C111" t="s">
        <v>473</v>
      </c>
      <c r="D111">
        <v>76900</v>
      </c>
      <c r="E111" t="s">
        <v>23</v>
      </c>
      <c r="F111" t="s">
        <v>9</v>
      </c>
    </row>
    <row r="112" spans="1:6" x14ac:dyDescent="0.25">
      <c r="A112">
        <v>111</v>
      </c>
      <c r="B112" t="s">
        <v>84</v>
      </c>
      <c r="C112" t="s">
        <v>474</v>
      </c>
      <c r="D112">
        <v>62900</v>
      </c>
      <c r="E112" t="s">
        <v>38</v>
      </c>
      <c r="F112" t="s">
        <v>20</v>
      </c>
    </row>
    <row r="113" spans="1:6" x14ac:dyDescent="0.25">
      <c r="A113">
        <v>112</v>
      </c>
      <c r="B113" t="s">
        <v>338</v>
      </c>
      <c r="C113" t="s">
        <v>475</v>
      </c>
      <c r="D113">
        <v>63200</v>
      </c>
      <c r="E113" t="s">
        <v>38</v>
      </c>
      <c r="F113" t="s">
        <v>9</v>
      </c>
    </row>
    <row r="114" spans="1:6" x14ac:dyDescent="0.25">
      <c r="A114">
        <v>113</v>
      </c>
      <c r="B114" t="s">
        <v>141</v>
      </c>
      <c r="C114" t="s">
        <v>409</v>
      </c>
      <c r="D114">
        <v>20300</v>
      </c>
      <c r="E114" t="s">
        <v>8</v>
      </c>
      <c r="F114" t="s">
        <v>20</v>
      </c>
    </row>
    <row r="115" spans="1:6" x14ac:dyDescent="0.25">
      <c r="A115">
        <v>114</v>
      </c>
      <c r="B115" t="s">
        <v>215</v>
      </c>
      <c r="C115" t="s">
        <v>476</v>
      </c>
      <c r="D115">
        <v>53500</v>
      </c>
      <c r="E115" t="s">
        <v>8</v>
      </c>
      <c r="F115" t="s">
        <v>9</v>
      </c>
    </row>
    <row r="116" spans="1:6" x14ac:dyDescent="0.25">
      <c r="A116">
        <v>115</v>
      </c>
      <c r="B116" t="s">
        <v>172</v>
      </c>
      <c r="C116" t="s">
        <v>477</v>
      </c>
      <c r="D116">
        <v>217700</v>
      </c>
      <c r="E116" t="s">
        <v>8</v>
      </c>
      <c r="F116" t="s">
        <v>9</v>
      </c>
    </row>
    <row r="117" spans="1:6" x14ac:dyDescent="0.25">
      <c r="A117">
        <v>116</v>
      </c>
      <c r="B117" t="s">
        <v>313</v>
      </c>
      <c r="C117" t="s">
        <v>478</v>
      </c>
      <c r="D117">
        <v>16900</v>
      </c>
      <c r="E117" t="s">
        <v>8</v>
      </c>
      <c r="F117" t="s">
        <v>20</v>
      </c>
    </row>
    <row r="118" spans="1:6" x14ac:dyDescent="0.25">
      <c r="A118">
        <v>117</v>
      </c>
      <c r="B118" t="s">
        <v>398</v>
      </c>
      <c r="C118" t="s">
        <v>479</v>
      </c>
      <c r="D118">
        <v>47700</v>
      </c>
      <c r="E118" t="s">
        <v>23</v>
      </c>
      <c r="F118" t="s">
        <v>20</v>
      </c>
    </row>
    <row r="119" spans="1:6" x14ac:dyDescent="0.25">
      <c r="A119">
        <v>118</v>
      </c>
      <c r="B119" t="s">
        <v>225</v>
      </c>
      <c r="C119" t="s">
        <v>480</v>
      </c>
      <c r="D119">
        <v>37100</v>
      </c>
      <c r="E119" t="s">
        <v>8</v>
      </c>
      <c r="F119" t="s">
        <v>9</v>
      </c>
    </row>
    <row r="120" spans="1:6" x14ac:dyDescent="0.25">
      <c r="A120">
        <v>119</v>
      </c>
      <c r="B120" t="s">
        <v>280</v>
      </c>
      <c r="C120" t="s">
        <v>474</v>
      </c>
      <c r="D120">
        <v>500000</v>
      </c>
      <c r="E120" t="s">
        <v>8</v>
      </c>
      <c r="F120" t="s">
        <v>9</v>
      </c>
    </row>
    <row r="121" spans="1:6" x14ac:dyDescent="0.25">
      <c r="A121">
        <v>120</v>
      </c>
      <c r="B121" t="s">
        <v>239</v>
      </c>
      <c r="C121" t="s">
        <v>482</v>
      </c>
      <c r="D121">
        <v>264900</v>
      </c>
      <c r="E121" t="s">
        <v>23</v>
      </c>
      <c r="F121" t="s">
        <v>20</v>
      </c>
    </row>
    <row r="122" spans="1:6" x14ac:dyDescent="0.25">
      <c r="A122">
        <v>121</v>
      </c>
      <c r="B122" t="s">
        <v>326</v>
      </c>
      <c r="C122" t="s">
        <v>472</v>
      </c>
      <c r="D122">
        <v>14500</v>
      </c>
      <c r="E122" t="s">
        <v>8</v>
      </c>
      <c r="F122" t="s">
        <v>9</v>
      </c>
    </row>
    <row r="123" spans="1:6" x14ac:dyDescent="0.25">
      <c r="A123">
        <v>122</v>
      </c>
      <c r="B123" t="s">
        <v>30</v>
      </c>
      <c r="C123" t="s">
        <v>473</v>
      </c>
      <c r="D123">
        <v>28000</v>
      </c>
      <c r="E123" t="s">
        <v>38</v>
      </c>
      <c r="F123" t="s">
        <v>9</v>
      </c>
    </row>
    <row r="124" spans="1:6" x14ac:dyDescent="0.25">
      <c r="A124">
        <v>123</v>
      </c>
      <c r="B124" t="s">
        <v>246</v>
      </c>
      <c r="C124" t="s">
        <v>474</v>
      </c>
      <c r="D124">
        <v>17900</v>
      </c>
      <c r="E124" t="s">
        <v>8</v>
      </c>
      <c r="F124" t="s">
        <v>20</v>
      </c>
    </row>
    <row r="125" spans="1:6" x14ac:dyDescent="0.25">
      <c r="A125">
        <v>124</v>
      </c>
      <c r="B125" t="s">
        <v>284</v>
      </c>
      <c r="C125" t="s">
        <v>476</v>
      </c>
      <c r="D125">
        <v>0</v>
      </c>
      <c r="E125" t="s">
        <v>8</v>
      </c>
      <c r="F125" t="s">
        <v>9</v>
      </c>
    </row>
    <row r="126" spans="1:6" x14ac:dyDescent="0.25">
      <c r="A126">
        <v>125</v>
      </c>
      <c r="B126" t="s">
        <v>265</v>
      </c>
      <c r="C126" t="s">
        <v>409</v>
      </c>
      <c r="D126">
        <v>12800</v>
      </c>
      <c r="E126" t="s">
        <v>8</v>
      </c>
      <c r="F126" t="s">
        <v>9</v>
      </c>
    </row>
    <row r="127" spans="1:6" x14ac:dyDescent="0.25">
      <c r="A127">
        <v>126</v>
      </c>
      <c r="B127" t="s">
        <v>398</v>
      </c>
      <c r="C127" t="s">
        <v>476</v>
      </c>
      <c r="D127">
        <v>99100</v>
      </c>
      <c r="E127" t="s">
        <v>8</v>
      </c>
      <c r="F127" t="s">
        <v>9</v>
      </c>
    </row>
    <row r="128" spans="1:6" x14ac:dyDescent="0.25">
      <c r="A128">
        <v>127</v>
      </c>
      <c r="B128" t="s">
        <v>206</v>
      </c>
      <c r="C128" t="s">
        <v>477</v>
      </c>
      <c r="D128">
        <v>136300</v>
      </c>
      <c r="E128" t="s">
        <v>8</v>
      </c>
      <c r="F128" t="s">
        <v>9</v>
      </c>
    </row>
    <row r="129" spans="1:6" x14ac:dyDescent="0.25">
      <c r="A129">
        <v>128</v>
      </c>
      <c r="B129" t="s">
        <v>280</v>
      </c>
      <c r="C129" t="s">
        <v>478</v>
      </c>
      <c r="D129">
        <v>500000</v>
      </c>
      <c r="E129" t="s">
        <v>8</v>
      </c>
      <c r="F129" t="s">
        <v>9</v>
      </c>
    </row>
    <row r="130" spans="1:6" x14ac:dyDescent="0.25">
      <c r="A130">
        <v>129</v>
      </c>
      <c r="B130" t="s">
        <v>77</v>
      </c>
      <c r="C130" t="s">
        <v>479</v>
      </c>
      <c r="D130">
        <v>30800</v>
      </c>
      <c r="E130" t="s">
        <v>8</v>
      </c>
      <c r="F130" t="s">
        <v>9</v>
      </c>
    </row>
    <row r="131" spans="1:6" x14ac:dyDescent="0.25">
      <c r="A131">
        <v>130</v>
      </c>
      <c r="B131" t="s">
        <v>365</v>
      </c>
      <c r="C131" t="s">
        <v>480</v>
      </c>
      <c r="D131">
        <v>20100</v>
      </c>
      <c r="E131" t="s">
        <v>8</v>
      </c>
      <c r="F131" t="s">
        <v>20</v>
      </c>
    </row>
    <row r="132" spans="1:6" x14ac:dyDescent="0.25">
      <c r="A132">
        <v>131</v>
      </c>
      <c r="B132" t="s">
        <v>61</v>
      </c>
      <c r="C132" t="s">
        <v>481</v>
      </c>
      <c r="D132">
        <v>22300</v>
      </c>
      <c r="E132" t="s">
        <v>8</v>
      </c>
      <c r="F132" t="s">
        <v>20</v>
      </c>
    </row>
    <row r="133" spans="1:6" x14ac:dyDescent="0.25">
      <c r="A133">
        <v>132</v>
      </c>
      <c r="B133" t="s">
        <v>71</v>
      </c>
      <c r="C133" t="s">
        <v>482</v>
      </c>
      <c r="D133">
        <v>79200</v>
      </c>
      <c r="E133" t="s">
        <v>8</v>
      </c>
      <c r="F133" t="s">
        <v>9</v>
      </c>
    </row>
    <row r="134" spans="1:6" x14ac:dyDescent="0.25">
      <c r="A134">
        <v>133</v>
      </c>
      <c r="B134" t="s">
        <v>332</v>
      </c>
      <c r="C134" t="s">
        <v>472</v>
      </c>
      <c r="D134">
        <v>46200</v>
      </c>
      <c r="E134" t="s">
        <v>8</v>
      </c>
      <c r="F134" t="s">
        <v>9</v>
      </c>
    </row>
    <row r="135" spans="1:6" x14ac:dyDescent="0.25">
      <c r="A135">
        <v>134</v>
      </c>
      <c r="B135" t="s">
        <v>165</v>
      </c>
      <c r="C135" t="s">
        <v>473</v>
      </c>
      <c r="D135">
        <v>61800</v>
      </c>
      <c r="E135" t="s">
        <v>8</v>
      </c>
      <c r="F135" t="s">
        <v>9</v>
      </c>
    </row>
    <row r="136" spans="1:6" x14ac:dyDescent="0.25">
      <c r="A136">
        <v>135</v>
      </c>
      <c r="B136" t="s">
        <v>333</v>
      </c>
      <c r="C136" t="s">
        <v>474</v>
      </c>
      <c r="D136">
        <v>5800</v>
      </c>
      <c r="E136" t="s">
        <v>23</v>
      </c>
      <c r="F136" t="s">
        <v>9</v>
      </c>
    </row>
    <row r="137" spans="1:6" x14ac:dyDescent="0.25">
      <c r="A137">
        <v>136</v>
      </c>
      <c r="B137" t="s">
        <v>149</v>
      </c>
      <c r="C137" t="s">
        <v>475</v>
      </c>
      <c r="D137">
        <v>26200</v>
      </c>
      <c r="E137" t="s">
        <v>38</v>
      </c>
      <c r="F137" t="s">
        <v>9</v>
      </c>
    </row>
    <row r="138" spans="1:6" x14ac:dyDescent="0.25">
      <c r="A138">
        <v>137</v>
      </c>
      <c r="B138" t="s">
        <v>171</v>
      </c>
      <c r="C138" t="s">
        <v>409</v>
      </c>
      <c r="D138">
        <v>28000</v>
      </c>
      <c r="E138" t="s">
        <v>8</v>
      </c>
      <c r="F138" t="s">
        <v>9</v>
      </c>
    </row>
    <row r="139" spans="1:6" x14ac:dyDescent="0.25">
      <c r="A139">
        <v>138</v>
      </c>
      <c r="B139" t="s">
        <v>219</v>
      </c>
      <c r="C139" t="s">
        <v>476</v>
      </c>
      <c r="D139">
        <v>20000</v>
      </c>
      <c r="E139" t="s">
        <v>8</v>
      </c>
      <c r="F139" t="s">
        <v>9</v>
      </c>
    </row>
    <row r="140" spans="1:6" x14ac:dyDescent="0.25">
      <c r="A140">
        <v>139</v>
      </c>
      <c r="B140" t="s">
        <v>62</v>
      </c>
      <c r="C140" t="s">
        <v>477</v>
      </c>
      <c r="D140">
        <v>37500</v>
      </c>
      <c r="E140" t="s">
        <v>8</v>
      </c>
      <c r="F140" t="s">
        <v>9</v>
      </c>
    </row>
    <row r="141" spans="1:6" x14ac:dyDescent="0.25">
      <c r="A141">
        <v>140</v>
      </c>
      <c r="B141" t="s">
        <v>317</v>
      </c>
      <c r="C141" t="s">
        <v>478</v>
      </c>
      <c r="D141">
        <v>21800</v>
      </c>
      <c r="E141" t="s">
        <v>8</v>
      </c>
      <c r="F141" t="s">
        <v>9</v>
      </c>
    </row>
    <row r="142" spans="1:6" x14ac:dyDescent="0.25">
      <c r="A142">
        <v>141</v>
      </c>
      <c r="B142" t="s">
        <v>117</v>
      </c>
      <c r="C142" t="s">
        <v>479</v>
      </c>
      <c r="D142">
        <v>19000</v>
      </c>
      <c r="E142" t="s">
        <v>8</v>
      </c>
      <c r="F142" t="s">
        <v>9</v>
      </c>
    </row>
    <row r="143" spans="1:6" x14ac:dyDescent="0.25">
      <c r="A143">
        <v>142</v>
      </c>
      <c r="B143" t="s">
        <v>171</v>
      </c>
      <c r="C143" t="s">
        <v>480</v>
      </c>
      <c r="D143">
        <v>55000</v>
      </c>
      <c r="E143" t="s">
        <v>8</v>
      </c>
      <c r="F143" t="s">
        <v>20</v>
      </c>
    </row>
    <row r="144" spans="1:6" x14ac:dyDescent="0.25">
      <c r="A144">
        <v>143</v>
      </c>
      <c r="B144" t="s">
        <v>358</v>
      </c>
      <c r="C144" t="s">
        <v>481</v>
      </c>
      <c r="D144">
        <v>47000</v>
      </c>
      <c r="E144" t="s">
        <v>8</v>
      </c>
      <c r="F144" t="s">
        <v>9</v>
      </c>
    </row>
    <row r="145" spans="1:6" x14ac:dyDescent="0.25">
      <c r="A145">
        <v>144</v>
      </c>
      <c r="B145" t="s">
        <v>392</v>
      </c>
      <c r="C145" t="s">
        <v>482</v>
      </c>
      <c r="D145">
        <v>30500</v>
      </c>
      <c r="E145" t="s">
        <v>8</v>
      </c>
      <c r="F145" t="s">
        <v>20</v>
      </c>
    </row>
    <row r="146" spans="1:6" x14ac:dyDescent="0.25">
      <c r="A146">
        <v>145</v>
      </c>
      <c r="B146" t="s">
        <v>26</v>
      </c>
      <c r="C146" t="s">
        <v>472</v>
      </c>
      <c r="D146">
        <v>5400</v>
      </c>
      <c r="E146" t="s">
        <v>38</v>
      </c>
      <c r="F146" t="s">
        <v>9</v>
      </c>
    </row>
    <row r="147" spans="1:6" x14ac:dyDescent="0.25">
      <c r="A147">
        <v>146</v>
      </c>
      <c r="B147" t="s">
        <v>103</v>
      </c>
      <c r="C147" t="s">
        <v>473</v>
      </c>
      <c r="D147">
        <v>24400</v>
      </c>
      <c r="E147" t="s">
        <v>8</v>
      </c>
      <c r="F147" t="s">
        <v>9</v>
      </c>
    </row>
    <row r="148" spans="1:6" x14ac:dyDescent="0.25">
      <c r="A148">
        <v>147</v>
      </c>
      <c r="B148" t="s">
        <v>243</v>
      </c>
      <c r="C148" t="s">
        <v>474</v>
      </c>
      <c r="D148">
        <v>35700</v>
      </c>
      <c r="E148" t="s">
        <v>8</v>
      </c>
      <c r="F148" t="s">
        <v>9</v>
      </c>
    </row>
    <row r="149" spans="1:6" x14ac:dyDescent="0.25">
      <c r="A149">
        <v>148</v>
      </c>
      <c r="B149" t="s">
        <v>6</v>
      </c>
      <c r="C149" t="s">
        <v>475</v>
      </c>
      <c r="D149">
        <v>15500</v>
      </c>
      <c r="E149" t="s">
        <v>8</v>
      </c>
      <c r="F149" t="s">
        <v>20</v>
      </c>
    </row>
    <row r="150" spans="1:6" x14ac:dyDescent="0.25">
      <c r="A150">
        <v>149</v>
      </c>
      <c r="B150" t="s">
        <v>232</v>
      </c>
      <c r="C150" t="s">
        <v>409</v>
      </c>
      <c r="D150">
        <v>21100</v>
      </c>
      <c r="E150" t="s">
        <v>38</v>
      </c>
      <c r="F150" t="s">
        <v>9</v>
      </c>
    </row>
    <row r="151" spans="1:6" x14ac:dyDescent="0.25">
      <c r="A151">
        <v>150</v>
      </c>
      <c r="B151" t="s">
        <v>240</v>
      </c>
      <c r="C151" t="s">
        <v>476</v>
      </c>
      <c r="D151">
        <v>26500</v>
      </c>
      <c r="E151" t="s">
        <v>23</v>
      </c>
      <c r="F151" t="s">
        <v>9</v>
      </c>
    </row>
    <row r="152" spans="1:6" x14ac:dyDescent="0.25">
      <c r="A152">
        <v>151</v>
      </c>
      <c r="B152" t="s">
        <v>26</v>
      </c>
      <c r="C152" t="s">
        <v>477</v>
      </c>
      <c r="D152">
        <v>5000</v>
      </c>
      <c r="E152" t="s">
        <v>8</v>
      </c>
      <c r="F152" t="s">
        <v>20</v>
      </c>
    </row>
    <row r="153" spans="1:6" x14ac:dyDescent="0.25">
      <c r="A153">
        <v>152</v>
      </c>
      <c r="B153" t="s">
        <v>262</v>
      </c>
      <c r="C153" t="s">
        <v>478</v>
      </c>
      <c r="D153">
        <v>129600</v>
      </c>
      <c r="E153" t="s">
        <v>8</v>
      </c>
      <c r="F153" t="s">
        <v>9</v>
      </c>
    </row>
    <row r="154" spans="1:6" x14ac:dyDescent="0.25">
      <c r="A154">
        <v>153</v>
      </c>
      <c r="B154" t="s">
        <v>37</v>
      </c>
      <c r="C154" t="s">
        <v>479</v>
      </c>
      <c r="D154">
        <v>68100</v>
      </c>
      <c r="E154" t="s">
        <v>23</v>
      </c>
      <c r="F154" t="s">
        <v>9</v>
      </c>
    </row>
    <row r="155" spans="1:6" x14ac:dyDescent="0.25">
      <c r="A155">
        <v>154</v>
      </c>
      <c r="B155" t="s">
        <v>39</v>
      </c>
      <c r="C155" t="s">
        <v>480</v>
      </c>
      <c r="D155">
        <v>54100</v>
      </c>
      <c r="E155" t="s">
        <v>8</v>
      </c>
      <c r="F155" t="s">
        <v>9</v>
      </c>
    </row>
    <row r="156" spans="1:6" x14ac:dyDescent="0.25">
      <c r="A156">
        <v>155</v>
      </c>
      <c r="B156" t="s">
        <v>88</v>
      </c>
      <c r="C156" t="s">
        <v>481</v>
      </c>
      <c r="D156">
        <v>68700</v>
      </c>
      <c r="E156" t="s">
        <v>8</v>
      </c>
      <c r="F156" t="s">
        <v>20</v>
      </c>
    </row>
    <row r="157" spans="1:6" x14ac:dyDescent="0.25">
      <c r="A157">
        <v>156</v>
      </c>
      <c r="B157" t="s">
        <v>366</v>
      </c>
      <c r="C157" t="s">
        <v>482</v>
      </c>
      <c r="D157">
        <v>53200</v>
      </c>
      <c r="E157" t="s">
        <v>8</v>
      </c>
      <c r="F157" t="s">
        <v>9</v>
      </c>
    </row>
    <row r="158" spans="1:6" x14ac:dyDescent="0.25">
      <c r="A158">
        <v>157</v>
      </c>
      <c r="B158" t="s">
        <v>362</v>
      </c>
      <c r="C158" t="s">
        <v>472</v>
      </c>
      <c r="D158">
        <v>12100</v>
      </c>
      <c r="E158" t="s">
        <v>8</v>
      </c>
      <c r="F158" t="s">
        <v>9</v>
      </c>
    </row>
    <row r="159" spans="1:6" x14ac:dyDescent="0.25">
      <c r="A159">
        <v>158</v>
      </c>
      <c r="B159" t="s">
        <v>279</v>
      </c>
      <c r="C159" t="s">
        <v>473</v>
      </c>
      <c r="D159">
        <v>64800</v>
      </c>
      <c r="E159" t="s">
        <v>38</v>
      </c>
      <c r="F159" t="s">
        <v>9</v>
      </c>
    </row>
    <row r="160" spans="1:6" x14ac:dyDescent="0.25">
      <c r="A160">
        <v>159</v>
      </c>
      <c r="B160" t="s">
        <v>258</v>
      </c>
      <c r="C160" t="s">
        <v>474</v>
      </c>
      <c r="D160">
        <v>93600</v>
      </c>
      <c r="E160" t="s">
        <v>8</v>
      </c>
      <c r="F160" t="s">
        <v>9</v>
      </c>
    </row>
    <row r="161" spans="1:6" x14ac:dyDescent="0.25">
      <c r="A161">
        <v>160</v>
      </c>
      <c r="B161" t="s">
        <v>329</v>
      </c>
      <c r="C161" t="s">
        <v>475</v>
      </c>
      <c r="D161">
        <v>11000</v>
      </c>
      <c r="E161" t="s">
        <v>38</v>
      </c>
      <c r="F161" t="s">
        <v>9</v>
      </c>
    </row>
    <row r="162" spans="1:6" x14ac:dyDescent="0.25">
      <c r="A162">
        <v>161</v>
      </c>
      <c r="B162" t="s">
        <v>109</v>
      </c>
      <c r="C162" t="s">
        <v>409</v>
      </c>
      <c r="D162">
        <v>36100</v>
      </c>
      <c r="E162" t="s">
        <v>8</v>
      </c>
      <c r="F162" t="s">
        <v>9</v>
      </c>
    </row>
    <row r="163" spans="1:6" x14ac:dyDescent="0.25">
      <c r="A163">
        <v>162</v>
      </c>
      <c r="B163" t="s">
        <v>316</v>
      </c>
      <c r="C163" t="s">
        <v>476</v>
      </c>
      <c r="D163">
        <v>72700</v>
      </c>
      <c r="E163" t="s">
        <v>8</v>
      </c>
      <c r="F163" t="s">
        <v>9</v>
      </c>
    </row>
    <row r="164" spans="1:6" x14ac:dyDescent="0.25">
      <c r="A164">
        <v>163</v>
      </c>
      <c r="B164" t="s">
        <v>117</v>
      </c>
      <c r="C164" t="s">
        <v>477</v>
      </c>
      <c r="D164">
        <v>33200</v>
      </c>
      <c r="E164" t="s">
        <v>38</v>
      </c>
      <c r="F164" t="s">
        <v>20</v>
      </c>
    </row>
    <row r="165" spans="1:6" x14ac:dyDescent="0.25">
      <c r="A165">
        <v>164</v>
      </c>
      <c r="B165" t="s">
        <v>173</v>
      </c>
      <c r="C165" t="s">
        <v>478</v>
      </c>
      <c r="D165">
        <v>66500</v>
      </c>
      <c r="E165" t="s">
        <v>8</v>
      </c>
      <c r="F165" t="s">
        <v>20</v>
      </c>
    </row>
    <row r="166" spans="1:6" x14ac:dyDescent="0.25">
      <c r="A166">
        <v>165</v>
      </c>
      <c r="B166" t="s">
        <v>364</v>
      </c>
      <c r="C166" t="s">
        <v>479</v>
      </c>
      <c r="D166">
        <v>15100</v>
      </c>
      <c r="E166" t="s">
        <v>38</v>
      </c>
      <c r="F166" t="s">
        <v>9</v>
      </c>
    </row>
    <row r="167" spans="1:6" x14ac:dyDescent="0.25">
      <c r="A167">
        <v>166</v>
      </c>
      <c r="B167" t="s">
        <v>133</v>
      </c>
      <c r="C167" t="s">
        <v>478</v>
      </c>
      <c r="D167">
        <v>0</v>
      </c>
      <c r="E167" t="s">
        <v>8</v>
      </c>
      <c r="F167" t="s">
        <v>9</v>
      </c>
    </row>
    <row r="168" spans="1:6" x14ac:dyDescent="0.25">
      <c r="A168">
        <v>167</v>
      </c>
      <c r="B168" t="s">
        <v>342</v>
      </c>
      <c r="C168" t="s">
        <v>481</v>
      </c>
      <c r="D168">
        <v>80800</v>
      </c>
      <c r="E168" t="s">
        <v>38</v>
      </c>
      <c r="F168" t="s">
        <v>9</v>
      </c>
    </row>
    <row r="169" spans="1:6" x14ac:dyDescent="0.25">
      <c r="A169">
        <v>168</v>
      </c>
      <c r="B169" t="s">
        <v>267</v>
      </c>
      <c r="C169" t="s">
        <v>482</v>
      </c>
      <c r="D169">
        <v>123100</v>
      </c>
      <c r="E169" t="s">
        <v>8</v>
      </c>
      <c r="F169" t="s">
        <v>9</v>
      </c>
    </row>
    <row r="170" spans="1:6" x14ac:dyDescent="0.25">
      <c r="A170">
        <v>169</v>
      </c>
      <c r="B170" t="s">
        <v>78</v>
      </c>
      <c r="C170" t="s">
        <v>472</v>
      </c>
      <c r="D170">
        <v>22700</v>
      </c>
      <c r="E170" t="s">
        <v>8</v>
      </c>
      <c r="F170" t="s">
        <v>9</v>
      </c>
    </row>
    <row r="171" spans="1:6" x14ac:dyDescent="0.25">
      <c r="A171">
        <v>170</v>
      </c>
      <c r="B171" t="s">
        <v>311</v>
      </c>
      <c r="C171" t="s">
        <v>473</v>
      </c>
      <c r="D171">
        <v>56700</v>
      </c>
      <c r="E171" t="s">
        <v>8</v>
      </c>
      <c r="F171" t="s">
        <v>9</v>
      </c>
    </row>
    <row r="172" spans="1:6" x14ac:dyDescent="0.25">
      <c r="A172">
        <v>171</v>
      </c>
      <c r="B172" t="s">
        <v>86</v>
      </c>
      <c r="C172" t="s">
        <v>474</v>
      </c>
      <c r="D172">
        <v>49900</v>
      </c>
      <c r="E172" t="s">
        <v>8</v>
      </c>
      <c r="F172" t="s">
        <v>9</v>
      </c>
    </row>
    <row r="173" spans="1:6" x14ac:dyDescent="0.25">
      <c r="A173">
        <v>172</v>
      </c>
      <c r="B173" t="s">
        <v>162</v>
      </c>
      <c r="C173" t="s">
        <v>475</v>
      </c>
      <c r="D173">
        <v>10900</v>
      </c>
      <c r="E173" t="s">
        <v>8</v>
      </c>
      <c r="F173" t="s">
        <v>9</v>
      </c>
    </row>
    <row r="174" spans="1:6" x14ac:dyDescent="0.25">
      <c r="A174">
        <v>173</v>
      </c>
      <c r="B174" t="s">
        <v>447</v>
      </c>
      <c r="C174" t="s">
        <v>409</v>
      </c>
      <c r="D174">
        <v>6300</v>
      </c>
      <c r="E174" t="s">
        <v>38</v>
      </c>
      <c r="F174" t="s">
        <v>9</v>
      </c>
    </row>
    <row r="175" spans="1:6" x14ac:dyDescent="0.25">
      <c r="A175">
        <v>174</v>
      </c>
      <c r="B175" t="s">
        <v>78</v>
      </c>
      <c r="C175" t="s">
        <v>476</v>
      </c>
      <c r="D175">
        <v>88700</v>
      </c>
      <c r="E175" t="s">
        <v>8</v>
      </c>
      <c r="F175" t="s">
        <v>9</v>
      </c>
    </row>
    <row r="176" spans="1:6" x14ac:dyDescent="0.25">
      <c r="A176">
        <v>175</v>
      </c>
      <c r="B176" t="s">
        <v>317</v>
      </c>
      <c r="C176" t="s">
        <v>477</v>
      </c>
      <c r="D176">
        <v>16600</v>
      </c>
      <c r="E176" t="s">
        <v>8</v>
      </c>
      <c r="F176" t="s">
        <v>9</v>
      </c>
    </row>
    <row r="177" spans="1:6" x14ac:dyDescent="0.25">
      <c r="A177">
        <v>176</v>
      </c>
      <c r="B177" t="s">
        <v>181</v>
      </c>
      <c r="C177" t="s">
        <v>478</v>
      </c>
      <c r="D177">
        <v>7100</v>
      </c>
      <c r="E177" t="s">
        <v>8</v>
      </c>
      <c r="F177" t="s">
        <v>9</v>
      </c>
    </row>
    <row r="178" spans="1:6" x14ac:dyDescent="0.25">
      <c r="A178">
        <v>177</v>
      </c>
      <c r="B178" t="s">
        <v>372</v>
      </c>
      <c r="C178" t="s">
        <v>479</v>
      </c>
      <c r="D178">
        <v>14600</v>
      </c>
      <c r="E178" t="s">
        <v>23</v>
      </c>
      <c r="F178" t="s">
        <v>9</v>
      </c>
    </row>
    <row r="179" spans="1:6" x14ac:dyDescent="0.25">
      <c r="A179">
        <v>178</v>
      </c>
      <c r="B179" t="s">
        <v>107</v>
      </c>
      <c r="C179" t="s">
        <v>480</v>
      </c>
      <c r="D179">
        <v>39500</v>
      </c>
      <c r="E179" t="s">
        <v>8</v>
      </c>
      <c r="F179" t="s">
        <v>9</v>
      </c>
    </row>
    <row r="180" spans="1:6" x14ac:dyDescent="0.25">
      <c r="A180">
        <v>179</v>
      </c>
      <c r="B180" t="s">
        <v>312</v>
      </c>
      <c r="C180" t="s">
        <v>481</v>
      </c>
      <c r="D180">
        <v>11500</v>
      </c>
      <c r="E180" t="s">
        <v>8</v>
      </c>
      <c r="F180" t="s">
        <v>20</v>
      </c>
    </row>
    <row r="181" spans="1:6" x14ac:dyDescent="0.25">
      <c r="A181">
        <v>180</v>
      </c>
      <c r="B181" t="s">
        <v>109</v>
      </c>
      <c r="C181" t="s">
        <v>482</v>
      </c>
      <c r="D181">
        <v>38800</v>
      </c>
      <c r="E181" t="s">
        <v>23</v>
      </c>
      <c r="F181" t="s">
        <v>9</v>
      </c>
    </row>
    <row r="182" spans="1:6" x14ac:dyDescent="0.25">
      <c r="A182">
        <v>181</v>
      </c>
      <c r="B182" t="s">
        <v>402</v>
      </c>
      <c r="C182" t="s">
        <v>472</v>
      </c>
      <c r="D182">
        <v>32000</v>
      </c>
      <c r="E182" t="s">
        <v>8</v>
      </c>
      <c r="F182" t="s">
        <v>9</v>
      </c>
    </row>
    <row r="183" spans="1:6" x14ac:dyDescent="0.25">
      <c r="A183">
        <v>182</v>
      </c>
      <c r="B183" t="s">
        <v>267</v>
      </c>
      <c r="C183" t="s">
        <v>473</v>
      </c>
      <c r="D183">
        <v>66900</v>
      </c>
      <c r="E183" t="s">
        <v>8</v>
      </c>
      <c r="F183" t="s">
        <v>20</v>
      </c>
    </row>
    <row r="184" spans="1:6" x14ac:dyDescent="0.25">
      <c r="A184">
        <v>183</v>
      </c>
      <c r="B184" t="s">
        <v>331</v>
      </c>
      <c r="C184" t="s">
        <v>474</v>
      </c>
      <c r="D184">
        <v>40000</v>
      </c>
      <c r="E184" t="s">
        <v>8</v>
      </c>
      <c r="F184" t="s">
        <v>9</v>
      </c>
    </row>
    <row r="185" spans="1:6" x14ac:dyDescent="0.25">
      <c r="A185">
        <v>184</v>
      </c>
      <c r="B185" t="s">
        <v>85</v>
      </c>
      <c r="C185" t="s">
        <v>475</v>
      </c>
      <c r="D185">
        <v>5000</v>
      </c>
      <c r="E185" t="s">
        <v>38</v>
      </c>
      <c r="F185" t="s">
        <v>9</v>
      </c>
    </row>
    <row r="186" spans="1:6" x14ac:dyDescent="0.25">
      <c r="A186">
        <v>185</v>
      </c>
      <c r="B186" t="s">
        <v>40</v>
      </c>
      <c r="C186" t="s">
        <v>409</v>
      </c>
      <c r="D186">
        <v>246300</v>
      </c>
      <c r="E186" t="s">
        <v>8</v>
      </c>
      <c r="F186" t="s">
        <v>9</v>
      </c>
    </row>
    <row r="187" spans="1:6" x14ac:dyDescent="0.25">
      <c r="A187">
        <v>186</v>
      </c>
      <c r="B187" t="s">
        <v>43</v>
      </c>
      <c r="C187" t="s">
        <v>476</v>
      </c>
      <c r="D187">
        <v>35600</v>
      </c>
      <c r="E187" t="s">
        <v>8</v>
      </c>
      <c r="F187" t="s">
        <v>20</v>
      </c>
    </row>
    <row r="188" spans="1:6" x14ac:dyDescent="0.25">
      <c r="A188">
        <v>187</v>
      </c>
      <c r="B188" t="s">
        <v>280</v>
      </c>
      <c r="C188" t="s">
        <v>477</v>
      </c>
      <c r="D188">
        <v>11900</v>
      </c>
      <c r="E188" t="s">
        <v>8</v>
      </c>
      <c r="F188" t="s">
        <v>9</v>
      </c>
    </row>
    <row r="189" spans="1:6" x14ac:dyDescent="0.25">
      <c r="A189">
        <v>188</v>
      </c>
      <c r="B189" t="s">
        <v>186</v>
      </c>
      <c r="C189" t="s">
        <v>478</v>
      </c>
      <c r="D189">
        <v>32700</v>
      </c>
      <c r="E189" t="s">
        <v>8</v>
      </c>
      <c r="F189" t="s">
        <v>20</v>
      </c>
    </row>
    <row r="190" spans="1:6" x14ac:dyDescent="0.25">
      <c r="A190">
        <v>189</v>
      </c>
      <c r="B190" t="s">
        <v>289</v>
      </c>
      <c r="C190" t="s">
        <v>479</v>
      </c>
      <c r="D190">
        <v>78600</v>
      </c>
      <c r="E190" t="s">
        <v>8</v>
      </c>
      <c r="F190" t="s">
        <v>9</v>
      </c>
    </row>
    <row r="191" spans="1:6" x14ac:dyDescent="0.25">
      <c r="A191">
        <v>190</v>
      </c>
      <c r="B191" t="s">
        <v>404</v>
      </c>
      <c r="C191" t="s">
        <v>480</v>
      </c>
      <c r="D191">
        <v>12800</v>
      </c>
      <c r="E191" t="s">
        <v>8</v>
      </c>
      <c r="F191" t="s">
        <v>9</v>
      </c>
    </row>
    <row r="192" spans="1:6" x14ac:dyDescent="0.25">
      <c r="A192">
        <v>191</v>
      </c>
      <c r="B192" t="s">
        <v>217</v>
      </c>
      <c r="C192" t="s">
        <v>481</v>
      </c>
      <c r="D192">
        <v>77100</v>
      </c>
      <c r="E192" t="s">
        <v>8</v>
      </c>
      <c r="F192" t="s">
        <v>9</v>
      </c>
    </row>
    <row r="193" spans="1:6" x14ac:dyDescent="0.25">
      <c r="A193">
        <v>192</v>
      </c>
      <c r="B193" t="s">
        <v>401</v>
      </c>
      <c r="C193" t="s">
        <v>482</v>
      </c>
      <c r="D193">
        <v>15500</v>
      </c>
      <c r="E193" t="s">
        <v>8</v>
      </c>
      <c r="F193" t="s">
        <v>9</v>
      </c>
    </row>
    <row r="194" spans="1:6" x14ac:dyDescent="0.25">
      <c r="A194">
        <v>193</v>
      </c>
      <c r="B194" t="s">
        <v>308</v>
      </c>
      <c r="C194" t="s">
        <v>472</v>
      </c>
      <c r="D194">
        <v>31300</v>
      </c>
      <c r="E194" t="s">
        <v>38</v>
      </c>
      <c r="F194" t="s">
        <v>20</v>
      </c>
    </row>
    <row r="195" spans="1:6" x14ac:dyDescent="0.25">
      <c r="A195">
        <v>194</v>
      </c>
      <c r="B195" t="s">
        <v>195</v>
      </c>
      <c r="C195" t="s">
        <v>473</v>
      </c>
      <c r="D195">
        <v>74700</v>
      </c>
      <c r="E195" t="s">
        <v>8</v>
      </c>
      <c r="F195" t="s">
        <v>9</v>
      </c>
    </row>
    <row r="196" spans="1:6" x14ac:dyDescent="0.25">
      <c r="A196">
        <v>195</v>
      </c>
      <c r="B196" t="s">
        <v>391</v>
      </c>
      <c r="C196" t="s">
        <v>474</v>
      </c>
      <c r="D196">
        <v>67800</v>
      </c>
      <c r="E196" t="s">
        <v>8</v>
      </c>
      <c r="F196" t="s">
        <v>9</v>
      </c>
    </row>
    <row r="197" spans="1:6" x14ac:dyDescent="0.25">
      <c r="A197">
        <v>196</v>
      </c>
      <c r="B197" t="s">
        <v>370</v>
      </c>
      <c r="C197" t="s">
        <v>475</v>
      </c>
      <c r="D197">
        <v>17200</v>
      </c>
      <c r="E197" t="s">
        <v>8</v>
      </c>
      <c r="F197" t="s">
        <v>9</v>
      </c>
    </row>
    <row r="198" spans="1:6" x14ac:dyDescent="0.25">
      <c r="A198">
        <v>197</v>
      </c>
      <c r="B198" t="s">
        <v>224</v>
      </c>
      <c r="C198" t="s">
        <v>409</v>
      </c>
      <c r="D198">
        <v>8200</v>
      </c>
      <c r="E198" t="s">
        <v>8</v>
      </c>
      <c r="F198" t="s">
        <v>9</v>
      </c>
    </row>
    <row r="199" spans="1:6" x14ac:dyDescent="0.25">
      <c r="A199">
        <v>198</v>
      </c>
      <c r="B199" t="s">
        <v>53</v>
      </c>
      <c r="C199" t="s">
        <v>476</v>
      </c>
      <c r="D199">
        <v>32500</v>
      </c>
      <c r="E199" t="s">
        <v>8</v>
      </c>
      <c r="F199" t="s">
        <v>9</v>
      </c>
    </row>
    <row r="200" spans="1:6" x14ac:dyDescent="0.25">
      <c r="A200">
        <v>199</v>
      </c>
      <c r="B200" t="s">
        <v>177</v>
      </c>
      <c r="C200" t="s">
        <v>477</v>
      </c>
      <c r="D200">
        <v>99000</v>
      </c>
      <c r="E200" t="s">
        <v>8</v>
      </c>
      <c r="F200" t="s">
        <v>9</v>
      </c>
    </row>
    <row r="201" spans="1:6" x14ac:dyDescent="0.25">
      <c r="A201">
        <v>200</v>
      </c>
      <c r="B201" t="s">
        <v>134</v>
      </c>
      <c r="C201" t="s">
        <v>478</v>
      </c>
      <c r="D201">
        <v>8100</v>
      </c>
      <c r="E201" t="s">
        <v>23</v>
      </c>
      <c r="F201" t="s">
        <v>9</v>
      </c>
    </row>
    <row r="202" spans="1:6" x14ac:dyDescent="0.25">
      <c r="A202">
        <v>201</v>
      </c>
      <c r="B202" t="s">
        <v>111</v>
      </c>
      <c r="C202" t="s">
        <v>479</v>
      </c>
      <c r="D202">
        <v>39000</v>
      </c>
      <c r="E202" t="s">
        <v>8</v>
      </c>
      <c r="F202" t="s">
        <v>9</v>
      </c>
    </row>
    <row r="203" spans="1:6" x14ac:dyDescent="0.25">
      <c r="A203">
        <v>202</v>
      </c>
      <c r="B203" t="s">
        <v>259</v>
      </c>
      <c r="C203" t="s">
        <v>480</v>
      </c>
      <c r="D203">
        <v>25200</v>
      </c>
      <c r="E203" t="s">
        <v>8</v>
      </c>
      <c r="F203" t="s">
        <v>9</v>
      </c>
    </row>
    <row r="204" spans="1:6" x14ac:dyDescent="0.25">
      <c r="A204">
        <v>203</v>
      </c>
      <c r="B204" t="s">
        <v>269</v>
      </c>
      <c r="C204" t="s">
        <v>481</v>
      </c>
      <c r="D204">
        <v>17600</v>
      </c>
      <c r="E204" t="s">
        <v>8</v>
      </c>
      <c r="F204" t="s">
        <v>9</v>
      </c>
    </row>
    <row r="205" spans="1:6" x14ac:dyDescent="0.25">
      <c r="A205">
        <v>204</v>
      </c>
      <c r="B205" t="s">
        <v>21</v>
      </c>
      <c r="C205" t="s">
        <v>482</v>
      </c>
      <c r="D205">
        <v>18500</v>
      </c>
      <c r="E205" t="s">
        <v>8</v>
      </c>
      <c r="F205" t="s">
        <v>9</v>
      </c>
    </row>
    <row r="206" spans="1:6" x14ac:dyDescent="0.25">
      <c r="A206">
        <v>205</v>
      </c>
      <c r="B206" t="s">
        <v>268</v>
      </c>
      <c r="C206" t="s">
        <v>472</v>
      </c>
      <c r="D206">
        <v>13000</v>
      </c>
      <c r="E206" t="s">
        <v>8</v>
      </c>
      <c r="F206" t="s">
        <v>9</v>
      </c>
    </row>
    <row r="207" spans="1:6" x14ac:dyDescent="0.25">
      <c r="A207">
        <v>206</v>
      </c>
      <c r="B207" t="s">
        <v>272</v>
      </c>
      <c r="C207" t="s">
        <v>473</v>
      </c>
      <c r="D207">
        <v>69100</v>
      </c>
      <c r="E207" t="s">
        <v>8</v>
      </c>
      <c r="F207" t="s">
        <v>9</v>
      </c>
    </row>
    <row r="208" spans="1:6" x14ac:dyDescent="0.25">
      <c r="A208">
        <v>207</v>
      </c>
      <c r="B208" t="s">
        <v>191</v>
      </c>
      <c r="C208" t="s">
        <v>474</v>
      </c>
      <c r="D208">
        <v>35400</v>
      </c>
      <c r="E208" t="s">
        <v>8</v>
      </c>
      <c r="F208" t="s">
        <v>20</v>
      </c>
    </row>
    <row r="209" spans="1:6" x14ac:dyDescent="0.25">
      <c r="A209">
        <v>208</v>
      </c>
      <c r="B209" t="s">
        <v>363</v>
      </c>
      <c r="C209" t="s">
        <v>475</v>
      </c>
      <c r="D209">
        <v>9300</v>
      </c>
      <c r="E209" t="s">
        <v>8</v>
      </c>
      <c r="F209" t="s">
        <v>20</v>
      </c>
    </row>
    <row r="210" spans="1:6" x14ac:dyDescent="0.25">
      <c r="A210">
        <v>209</v>
      </c>
      <c r="B210" t="s">
        <v>140</v>
      </c>
      <c r="C210" t="s">
        <v>409</v>
      </c>
      <c r="D210">
        <v>78000</v>
      </c>
      <c r="E210" t="s">
        <v>8</v>
      </c>
      <c r="F210" t="s">
        <v>9</v>
      </c>
    </row>
    <row r="211" spans="1:6" x14ac:dyDescent="0.25">
      <c r="A211">
        <v>210</v>
      </c>
      <c r="B211" t="s">
        <v>203</v>
      </c>
      <c r="C211" t="s">
        <v>476</v>
      </c>
      <c r="D211">
        <v>50400</v>
      </c>
      <c r="E211" t="s">
        <v>8</v>
      </c>
      <c r="F211" t="s">
        <v>9</v>
      </c>
    </row>
    <row r="212" spans="1:6" x14ac:dyDescent="0.25">
      <c r="A212">
        <v>211</v>
      </c>
      <c r="B212" t="s">
        <v>315</v>
      </c>
      <c r="C212" t="s">
        <v>477</v>
      </c>
      <c r="D212">
        <v>56500</v>
      </c>
      <c r="E212" t="s">
        <v>8</v>
      </c>
      <c r="F212" t="s">
        <v>9</v>
      </c>
    </row>
    <row r="213" spans="1:6" x14ac:dyDescent="0.25">
      <c r="A213">
        <v>212</v>
      </c>
      <c r="B213" t="s">
        <v>353</v>
      </c>
      <c r="C213" t="s">
        <v>478</v>
      </c>
      <c r="D213">
        <v>19900</v>
      </c>
      <c r="E213" t="s">
        <v>23</v>
      </c>
      <c r="F213" t="s">
        <v>9</v>
      </c>
    </row>
    <row r="214" spans="1:6" x14ac:dyDescent="0.25">
      <c r="A214">
        <v>213</v>
      </c>
      <c r="B214" t="s">
        <v>73</v>
      </c>
      <c r="C214" t="s">
        <v>479</v>
      </c>
      <c r="D214">
        <v>48000</v>
      </c>
      <c r="E214" t="s">
        <v>38</v>
      </c>
      <c r="F214" t="s">
        <v>9</v>
      </c>
    </row>
    <row r="215" spans="1:6" x14ac:dyDescent="0.25">
      <c r="A215">
        <v>214</v>
      </c>
      <c r="B215" t="s">
        <v>254</v>
      </c>
      <c r="C215" t="s">
        <v>480</v>
      </c>
      <c r="D215">
        <v>84000</v>
      </c>
      <c r="E215" t="s">
        <v>8</v>
      </c>
      <c r="F215" t="s">
        <v>9</v>
      </c>
    </row>
    <row r="216" spans="1:6" x14ac:dyDescent="0.25">
      <c r="A216">
        <v>215</v>
      </c>
      <c r="B216" t="s">
        <v>65</v>
      </c>
      <c r="C216" t="s">
        <v>481</v>
      </c>
      <c r="D216">
        <v>5000</v>
      </c>
      <c r="E216" t="s">
        <v>8</v>
      </c>
      <c r="F216" t="s">
        <v>9</v>
      </c>
    </row>
    <row r="217" spans="1:6" x14ac:dyDescent="0.25">
      <c r="A217">
        <v>216</v>
      </c>
      <c r="B217" t="s">
        <v>210</v>
      </c>
      <c r="C217" t="s">
        <v>482</v>
      </c>
      <c r="D217">
        <v>44300</v>
      </c>
      <c r="E217" t="s">
        <v>8</v>
      </c>
      <c r="F217" t="s">
        <v>9</v>
      </c>
    </row>
    <row r="218" spans="1:6" x14ac:dyDescent="0.25">
      <c r="A218">
        <v>217</v>
      </c>
      <c r="B218" t="s">
        <v>89</v>
      </c>
      <c r="C218" t="s">
        <v>472</v>
      </c>
      <c r="D218">
        <v>21400</v>
      </c>
      <c r="E218" t="s">
        <v>8</v>
      </c>
      <c r="F218" t="s">
        <v>9</v>
      </c>
    </row>
    <row r="219" spans="1:6" x14ac:dyDescent="0.25">
      <c r="A219">
        <v>218</v>
      </c>
      <c r="B219" t="s">
        <v>396</v>
      </c>
      <c r="C219" t="s">
        <v>473</v>
      </c>
      <c r="D219">
        <v>15400</v>
      </c>
      <c r="E219" t="s">
        <v>8</v>
      </c>
      <c r="F219" t="s">
        <v>20</v>
      </c>
    </row>
    <row r="220" spans="1:6" x14ac:dyDescent="0.25">
      <c r="A220">
        <v>219</v>
      </c>
      <c r="B220" t="s">
        <v>69</v>
      </c>
      <c r="C220" t="s">
        <v>474</v>
      </c>
      <c r="D220">
        <v>14800</v>
      </c>
      <c r="E220" t="s">
        <v>8</v>
      </c>
      <c r="F220" t="s">
        <v>20</v>
      </c>
    </row>
    <row r="221" spans="1:6" x14ac:dyDescent="0.25">
      <c r="A221">
        <v>220</v>
      </c>
      <c r="B221" t="s">
        <v>168</v>
      </c>
      <c r="C221" t="s">
        <v>475</v>
      </c>
      <c r="D221">
        <v>8700</v>
      </c>
      <c r="E221" t="s">
        <v>8</v>
      </c>
      <c r="F221" t="s">
        <v>20</v>
      </c>
    </row>
    <row r="222" spans="1:6" x14ac:dyDescent="0.25">
      <c r="A222">
        <v>221</v>
      </c>
      <c r="B222" t="s">
        <v>231</v>
      </c>
      <c r="C222" t="s">
        <v>409</v>
      </c>
      <c r="D222">
        <v>31800</v>
      </c>
      <c r="E222" t="s">
        <v>38</v>
      </c>
      <c r="F222" t="s">
        <v>9</v>
      </c>
    </row>
    <row r="223" spans="1:6" x14ac:dyDescent="0.25">
      <c r="A223">
        <v>222</v>
      </c>
      <c r="B223" t="s">
        <v>160</v>
      </c>
      <c r="C223" t="s">
        <v>476</v>
      </c>
      <c r="D223">
        <v>94900</v>
      </c>
      <c r="E223" t="s">
        <v>8</v>
      </c>
      <c r="F223" t="s">
        <v>9</v>
      </c>
    </row>
    <row r="224" spans="1:6" x14ac:dyDescent="0.25">
      <c r="A224">
        <v>223</v>
      </c>
      <c r="B224" t="s">
        <v>334</v>
      </c>
      <c r="C224" t="s">
        <v>477</v>
      </c>
      <c r="D224">
        <v>14400</v>
      </c>
      <c r="E224" t="s">
        <v>8</v>
      </c>
      <c r="F224" t="s">
        <v>20</v>
      </c>
    </row>
    <row r="225" spans="1:6" x14ac:dyDescent="0.25">
      <c r="A225">
        <v>224</v>
      </c>
      <c r="B225" t="s">
        <v>150</v>
      </c>
      <c r="C225" t="s">
        <v>478</v>
      </c>
      <c r="D225">
        <v>22200</v>
      </c>
      <c r="E225" t="s">
        <v>8</v>
      </c>
      <c r="F225" t="s">
        <v>20</v>
      </c>
    </row>
    <row r="226" spans="1:6" x14ac:dyDescent="0.25">
      <c r="A226">
        <v>225</v>
      </c>
      <c r="B226" t="s">
        <v>176</v>
      </c>
      <c r="C226" t="s">
        <v>479</v>
      </c>
      <c r="D226">
        <v>14200</v>
      </c>
      <c r="E226" t="s">
        <v>8</v>
      </c>
      <c r="F226" t="s">
        <v>20</v>
      </c>
    </row>
    <row r="227" spans="1:6" x14ac:dyDescent="0.25">
      <c r="A227">
        <v>226</v>
      </c>
      <c r="B227" t="s">
        <v>237</v>
      </c>
      <c r="C227" t="s">
        <v>480</v>
      </c>
      <c r="D227">
        <v>30100</v>
      </c>
      <c r="E227" t="s">
        <v>8</v>
      </c>
      <c r="F227" t="s">
        <v>9</v>
      </c>
    </row>
    <row r="228" spans="1:6" x14ac:dyDescent="0.25">
      <c r="A228">
        <v>227</v>
      </c>
      <c r="B228" t="s">
        <v>227</v>
      </c>
      <c r="C228" t="s">
        <v>481</v>
      </c>
      <c r="D228">
        <v>11400</v>
      </c>
      <c r="E228" t="s">
        <v>8</v>
      </c>
      <c r="F228" t="s">
        <v>9</v>
      </c>
    </row>
    <row r="229" spans="1:6" x14ac:dyDescent="0.25">
      <c r="A229">
        <v>228</v>
      </c>
      <c r="B229" t="s">
        <v>316</v>
      </c>
      <c r="C229" t="s">
        <v>482</v>
      </c>
      <c r="D229">
        <v>34100</v>
      </c>
      <c r="E229" t="s">
        <v>8</v>
      </c>
      <c r="F229" t="s">
        <v>9</v>
      </c>
    </row>
    <row r="230" spans="1:6" x14ac:dyDescent="0.25">
      <c r="A230">
        <v>229</v>
      </c>
      <c r="B230" t="s">
        <v>267</v>
      </c>
      <c r="C230" t="s">
        <v>472</v>
      </c>
      <c r="D230">
        <v>32100</v>
      </c>
      <c r="E230" t="s">
        <v>8</v>
      </c>
      <c r="F230" t="s">
        <v>9</v>
      </c>
    </row>
    <row r="231" spans="1:6" x14ac:dyDescent="0.25">
      <c r="A231">
        <v>230</v>
      </c>
      <c r="B231" t="s">
        <v>256</v>
      </c>
      <c r="C231" t="s">
        <v>473</v>
      </c>
      <c r="D231">
        <v>84700</v>
      </c>
      <c r="E231" t="s">
        <v>8</v>
      </c>
      <c r="F231" t="s">
        <v>9</v>
      </c>
    </row>
    <row r="232" spans="1:6" x14ac:dyDescent="0.25">
      <c r="A232">
        <v>231</v>
      </c>
      <c r="B232" t="s">
        <v>36</v>
      </c>
      <c r="C232" t="s">
        <v>474</v>
      </c>
      <c r="D232">
        <v>14700</v>
      </c>
      <c r="E232" t="s">
        <v>8</v>
      </c>
      <c r="F232" t="s">
        <v>9</v>
      </c>
    </row>
    <row r="233" spans="1:6" x14ac:dyDescent="0.25">
      <c r="A233">
        <v>232</v>
      </c>
      <c r="B233" t="s">
        <v>336</v>
      </c>
      <c r="C233" t="s">
        <v>475</v>
      </c>
      <c r="D233">
        <v>59200</v>
      </c>
      <c r="E233" t="s">
        <v>38</v>
      </c>
      <c r="F233" t="s">
        <v>9</v>
      </c>
    </row>
    <row r="234" spans="1:6" x14ac:dyDescent="0.25">
      <c r="A234">
        <v>233</v>
      </c>
      <c r="B234" t="s">
        <v>309</v>
      </c>
      <c r="C234" t="s">
        <v>409</v>
      </c>
      <c r="D234">
        <v>55400</v>
      </c>
      <c r="E234" t="s">
        <v>8</v>
      </c>
      <c r="F234" t="s">
        <v>9</v>
      </c>
    </row>
    <row r="235" spans="1:6" x14ac:dyDescent="0.25">
      <c r="A235">
        <v>234</v>
      </c>
      <c r="B235" t="s">
        <v>148</v>
      </c>
      <c r="C235" t="s">
        <v>476</v>
      </c>
      <c r="D235">
        <v>92800</v>
      </c>
      <c r="E235" t="s">
        <v>8</v>
      </c>
      <c r="F235" t="s">
        <v>9</v>
      </c>
    </row>
    <row r="236" spans="1:6" x14ac:dyDescent="0.25">
      <c r="A236">
        <v>235</v>
      </c>
      <c r="B236" t="s">
        <v>358</v>
      </c>
      <c r="C236" t="s">
        <v>477</v>
      </c>
      <c r="D236">
        <v>92800</v>
      </c>
      <c r="E236" t="s">
        <v>8</v>
      </c>
      <c r="F236" t="s">
        <v>9</v>
      </c>
    </row>
    <row r="237" spans="1:6" x14ac:dyDescent="0.25">
      <c r="A237">
        <v>236</v>
      </c>
      <c r="B237" t="s">
        <v>220</v>
      </c>
      <c r="C237" t="s">
        <v>478</v>
      </c>
      <c r="D237">
        <v>74000</v>
      </c>
      <c r="E237" t="s">
        <v>8</v>
      </c>
      <c r="F237" t="s">
        <v>9</v>
      </c>
    </row>
    <row r="238" spans="1:6" x14ac:dyDescent="0.25">
      <c r="A238">
        <v>237</v>
      </c>
      <c r="B238" t="s">
        <v>132</v>
      </c>
      <c r="C238" t="s">
        <v>479</v>
      </c>
      <c r="D238">
        <v>50400</v>
      </c>
      <c r="E238" t="s">
        <v>38</v>
      </c>
      <c r="F238" t="s">
        <v>9</v>
      </c>
    </row>
    <row r="239" spans="1:6" x14ac:dyDescent="0.25">
      <c r="A239">
        <v>238</v>
      </c>
      <c r="B239" t="s">
        <v>244</v>
      </c>
      <c r="C239" t="s">
        <v>480</v>
      </c>
      <c r="D239">
        <v>9400</v>
      </c>
      <c r="E239" t="s">
        <v>38</v>
      </c>
      <c r="F239" t="s">
        <v>9</v>
      </c>
    </row>
    <row r="240" spans="1:6" x14ac:dyDescent="0.25">
      <c r="A240">
        <v>239</v>
      </c>
      <c r="B240" t="s">
        <v>264</v>
      </c>
      <c r="C240" t="s">
        <v>481</v>
      </c>
      <c r="D240">
        <v>120800</v>
      </c>
      <c r="E240" t="s">
        <v>8</v>
      </c>
      <c r="F240" t="s">
        <v>9</v>
      </c>
    </row>
    <row r="241" spans="1:6" x14ac:dyDescent="0.25">
      <c r="A241">
        <v>240</v>
      </c>
      <c r="B241" t="s">
        <v>276</v>
      </c>
      <c r="C241" t="s">
        <v>482</v>
      </c>
      <c r="D241">
        <v>176400</v>
      </c>
      <c r="E241" t="s">
        <v>38</v>
      </c>
      <c r="F241" t="s">
        <v>9</v>
      </c>
    </row>
    <row r="242" spans="1:6" x14ac:dyDescent="0.25">
      <c r="A242">
        <v>241</v>
      </c>
      <c r="B242" t="s">
        <v>255</v>
      </c>
      <c r="C242" t="s">
        <v>472</v>
      </c>
      <c r="D242">
        <v>73900</v>
      </c>
      <c r="E242" t="s">
        <v>38</v>
      </c>
      <c r="F242" t="s">
        <v>9</v>
      </c>
    </row>
    <row r="243" spans="1:6" x14ac:dyDescent="0.25">
      <c r="A243">
        <v>242</v>
      </c>
      <c r="B243" t="s">
        <v>165</v>
      </c>
      <c r="C243" t="s">
        <v>473</v>
      </c>
      <c r="D243">
        <v>26100</v>
      </c>
      <c r="E243" t="s">
        <v>38</v>
      </c>
      <c r="F243" t="s">
        <v>9</v>
      </c>
    </row>
    <row r="244" spans="1:6" x14ac:dyDescent="0.25">
      <c r="A244">
        <v>243</v>
      </c>
      <c r="B244" t="s">
        <v>209</v>
      </c>
      <c r="C244" t="s">
        <v>474</v>
      </c>
      <c r="D244">
        <v>19200</v>
      </c>
      <c r="E244" t="s">
        <v>8</v>
      </c>
      <c r="F244" t="s">
        <v>9</v>
      </c>
    </row>
    <row r="245" spans="1:6" x14ac:dyDescent="0.25">
      <c r="A245">
        <v>244</v>
      </c>
      <c r="B245" t="s">
        <v>291</v>
      </c>
      <c r="C245" t="s">
        <v>475</v>
      </c>
      <c r="D245">
        <v>56000</v>
      </c>
      <c r="E245" t="s">
        <v>8</v>
      </c>
      <c r="F245" t="s">
        <v>9</v>
      </c>
    </row>
    <row r="246" spans="1:6" x14ac:dyDescent="0.25">
      <c r="A246">
        <v>245</v>
      </c>
      <c r="B246" t="s">
        <v>138</v>
      </c>
      <c r="C246" t="s">
        <v>409</v>
      </c>
      <c r="D246">
        <v>12200</v>
      </c>
      <c r="E246" t="s">
        <v>8</v>
      </c>
      <c r="F246" t="s">
        <v>9</v>
      </c>
    </row>
    <row r="247" spans="1:6" x14ac:dyDescent="0.25">
      <c r="A247">
        <v>246</v>
      </c>
      <c r="B247" t="s">
        <v>182</v>
      </c>
      <c r="C247" t="s">
        <v>476</v>
      </c>
      <c r="D247">
        <v>44800</v>
      </c>
      <c r="E247" t="s">
        <v>8</v>
      </c>
      <c r="F247" t="s">
        <v>20</v>
      </c>
    </row>
    <row r="248" spans="1:6" x14ac:dyDescent="0.25">
      <c r="A248">
        <v>247</v>
      </c>
      <c r="B248" t="s">
        <v>84</v>
      </c>
      <c r="C248" t="s">
        <v>477</v>
      </c>
      <c r="D248">
        <v>17900</v>
      </c>
      <c r="E248" t="s">
        <v>8</v>
      </c>
      <c r="F248" t="s">
        <v>9</v>
      </c>
    </row>
    <row r="249" spans="1:6" x14ac:dyDescent="0.25">
      <c r="A249">
        <v>248</v>
      </c>
      <c r="B249" t="s">
        <v>86</v>
      </c>
      <c r="C249" t="s">
        <v>478</v>
      </c>
      <c r="D249">
        <v>30200</v>
      </c>
      <c r="E249" t="s">
        <v>8</v>
      </c>
      <c r="F249" t="s">
        <v>9</v>
      </c>
    </row>
    <row r="250" spans="1:6" x14ac:dyDescent="0.25">
      <c r="A250">
        <v>249</v>
      </c>
      <c r="B250" t="s">
        <v>255</v>
      </c>
      <c r="C250" t="s">
        <v>479</v>
      </c>
      <c r="D250">
        <v>24000</v>
      </c>
      <c r="E250" t="s">
        <v>8</v>
      </c>
      <c r="F250" t="s">
        <v>9</v>
      </c>
    </row>
    <row r="251" spans="1:6" x14ac:dyDescent="0.25">
      <c r="A251">
        <v>250</v>
      </c>
      <c r="B251" t="s">
        <v>87</v>
      </c>
      <c r="C251" t="s">
        <v>480</v>
      </c>
      <c r="D251">
        <v>38000</v>
      </c>
      <c r="E251" t="s">
        <v>23</v>
      </c>
      <c r="F251" t="s">
        <v>9</v>
      </c>
    </row>
    <row r="252" spans="1:6" x14ac:dyDescent="0.25">
      <c r="A252">
        <v>251</v>
      </c>
      <c r="B252" t="s">
        <v>40</v>
      </c>
      <c r="C252" t="s">
        <v>481</v>
      </c>
      <c r="D252">
        <v>45900</v>
      </c>
      <c r="E252" t="s">
        <v>23</v>
      </c>
      <c r="F252" t="s">
        <v>9</v>
      </c>
    </row>
    <row r="253" spans="1:6" x14ac:dyDescent="0.25">
      <c r="A253">
        <v>252</v>
      </c>
      <c r="B253" t="s">
        <v>343</v>
      </c>
      <c r="C253" t="s">
        <v>482</v>
      </c>
      <c r="D253">
        <v>33100</v>
      </c>
      <c r="E253" t="s">
        <v>8</v>
      </c>
      <c r="F253" t="s">
        <v>9</v>
      </c>
    </row>
    <row r="254" spans="1:6" x14ac:dyDescent="0.25">
      <c r="A254">
        <v>253</v>
      </c>
      <c r="B254" t="s">
        <v>151</v>
      </c>
      <c r="C254" t="s">
        <v>472</v>
      </c>
      <c r="D254">
        <v>14800</v>
      </c>
      <c r="E254" t="s">
        <v>8</v>
      </c>
      <c r="F254" t="s">
        <v>9</v>
      </c>
    </row>
    <row r="255" spans="1:6" x14ac:dyDescent="0.25">
      <c r="A255">
        <v>254</v>
      </c>
      <c r="B255" t="s">
        <v>83</v>
      </c>
      <c r="C255" t="s">
        <v>473</v>
      </c>
      <c r="D255">
        <v>74500</v>
      </c>
      <c r="E255" t="s">
        <v>8</v>
      </c>
      <c r="F255" t="s">
        <v>9</v>
      </c>
    </row>
    <row r="256" spans="1:6" x14ac:dyDescent="0.25">
      <c r="A256">
        <v>255</v>
      </c>
      <c r="B256" t="s">
        <v>307</v>
      </c>
      <c r="C256" t="s">
        <v>474</v>
      </c>
      <c r="D256">
        <v>33100</v>
      </c>
      <c r="E256" t="s">
        <v>8</v>
      </c>
      <c r="F256" t="s">
        <v>9</v>
      </c>
    </row>
    <row r="257" spans="1:6" x14ac:dyDescent="0.25">
      <c r="A257">
        <v>256</v>
      </c>
      <c r="B257" t="s">
        <v>201</v>
      </c>
      <c r="C257" t="s">
        <v>475</v>
      </c>
      <c r="D257">
        <v>49000</v>
      </c>
      <c r="E257" t="s">
        <v>23</v>
      </c>
      <c r="F257" t="s">
        <v>9</v>
      </c>
    </row>
    <row r="258" spans="1:6" x14ac:dyDescent="0.25">
      <c r="A258">
        <v>257</v>
      </c>
      <c r="B258" t="s">
        <v>37</v>
      </c>
      <c r="C258" t="s">
        <v>409</v>
      </c>
      <c r="D258">
        <v>38500</v>
      </c>
      <c r="E258" t="s">
        <v>8</v>
      </c>
      <c r="F258" t="s">
        <v>9</v>
      </c>
    </row>
    <row r="259" spans="1:6" x14ac:dyDescent="0.25">
      <c r="A259">
        <v>258</v>
      </c>
      <c r="B259" t="s">
        <v>147</v>
      </c>
      <c r="C259" t="s">
        <v>476</v>
      </c>
      <c r="D259">
        <v>38300</v>
      </c>
      <c r="E259" t="s">
        <v>8</v>
      </c>
      <c r="F259" t="s">
        <v>9</v>
      </c>
    </row>
    <row r="260" spans="1:6" x14ac:dyDescent="0.25">
      <c r="A260">
        <v>259</v>
      </c>
      <c r="B260" t="s">
        <v>337</v>
      </c>
      <c r="C260" t="s">
        <v>477</v>
      </c>
      <c r="D260">
        <v>62900</v>
      </c>
      <c r="E260" t="s">
        <v>8</v>
      </c>
      <c r="F260" t="s">
        <v>9</v>
      </c>
    </row>
    <row r="261" spans="1:6" x14ac:dyDescent="0.25">
      <c r="A261">
        <v>260</v>
      </c>
      <c r="B261" t="s">
        <v>247</v>
      </c>
      <c r="C261" t="s">
        <v>478</v>
      </c>
      <c r="D261">
        <v>13500</v>
      </c>
      <c r="E261" t="s">
        <v>38</v>
      </c>
      <c r="F261" t="s">
        <v>20</v>
      </c>
    </row>
    <row r="262" spans="1:6" x14ac:dyDescent="0.25">
      <c r="A262">
        <v>261</v>
      </c>
      <c r="B262" t="s">
        <v>49</v>
      </c>
      <c r="C262" t="s">
        <v>479</v>
      </c>
      <c r="D262">
        <v>119100</v>
      </c>
      <c r="E262" t="s">
        <v>8</v>
      </c>
      <c r="F262" t="s">
        <v>20</v>
      </c>
    </row>
    <row r="263" spans="1:6" x14ac:dyDescent="0.25">
      <c r="A263">
        <v>262</v>
      </c>
      <c r="B263" t="s">
        <v>273</v>
      </c>
      <c r="C263" t="s">
        <v>480</v>
      </c>
      <c r="D263">
        <v>36400</v>
      </c>
      <c r="E263" t="s">
        <v>23</v>
      </c>
      <c r="F263" t="s">
        <v>9</v>
      </c>
    </row>
    <row r="264" spans="1:6" x14ac:dyDescent="0.25">
      <c r="A264">
        <v>263</v>
      </c>
      <c r="B264" t="s">
        <v>132</v>
      </c>
      <c r="C264" t="s">
        <v>481</v>
      </c>
      <c r="D264">
        <v>12900</v>
      </c>
      <c r="E264" t="s">
        <v>8</v>
      </c>
      <c r="F264" t="s">
        <v>9</v>
      </c>
    </row>
    <row r="265" spans="1:6" x14ac:dyDescent="0.25">
      <c r="A265">
        <v>264</v>
      </c>
      <c r="B265" t="s">
        <v>418</v>
      </c>
      <c r="C265" t="s">
        <v>482</v>
      </c>
      <c r="D265">
        <v>34500</v>
      </c>
      <c r="E265" t="s">
        <v>8</v>
      </c>
      <c r="F265" t="s">
        <v>9</v>
      </c>
    </row>
    <row r="266" spans="1:6" x14ac:dyDescent="0.25">
      <c r="A266">
        <v>265</v>
      </c>
      <c r="B266" t="s">
        <v>387</v>
      </c>
      <c r="C266" t="s">
        <v>472</v>
      </c>
      <c r="D266">
        <v>192100</v>
      </c>
      <c r="E266" t="s">
        <v>23</v>
      </c>
      <c r="F266" t="s">
        <v>9</v>
      </c>
    </row>
    <row r="267" spans="1:6" x14ac:dyDescent="0.25">
      <c r="A267">
        <v>266</v>
      </c>
      <c r="B267" t="s">
        <v>35</v>
      </c>
      <c r="C267" t="s">
        <v>475</v>
      </c>
      <c r="D267">
        <v>420000</v>
      </c>
      <c r="E267" t="s">
        <v>8</v>
      </c>
      <c r="F267" t="s">
        <v>9</v>
      </c>
    </row>
    <row r="268" spans="1:6" x14ac:dyDescent="0.25">
      <c r="A268">
        <v>267</v>
      </c>
      <c r="B268" t="s">
        <v>222</v>
      </c>
      <c r="C268" t="s">
        <v>474</v>
      </c>
      <c r="D268">
        <v>23200</v>
      </c>
      <c r="E268" t="s">
        <v>8</v>
      </c>
      <c r="F268" t="s">
        <v>9</v>
      </c>
    </row>
    <row r="269" spans="1:6" x14ac:dyDescent="0.25">
      <c r="A269">
        <v>268</v>
      </c>
      <c r="B269" t="s">
        <v>398</v>
      </c>
      <c r="C269" t="s">
        <v>475</v>
      </c>
      <c r="D269">
        <v>7000</v>
      </c>
      <c r="E269" t="s">
        <v>23</v>
      </c>
      <c r="F269" t="s">
        <v>9</v>
      </c>
    </row>
    <row r="270" spans="1:6" x14ac:dyDescent="0.25">
      <c r="A270">
        <v>269</v>
      </c>
      <c r="B270" t="s">
        <v>101</v>
      </c>
      <c r="C270" t="s">
        <v>409</v>
      </c>
      <c r="D270">
        <v>11800</v>
      </c>
      <c r="E270" t="s">
        <v>8</v>
      </c>
      <c r="F270" t="s">
        <v>9</v>
      </c>
    </row>
    <row r="271" spans="1:6" x14ac:dyDescent="0.25">
      <c r="A271">
        <v>270</v>
      </c>
      <c r="B271" t="s">
        <v>89</v>
      </c>
      <c r="C271" t="s">
        <v>476</v>
      </c>
      <c r="D271">
        <v>40300</v>
      </c>
      <c r="E271" t="s">
        <v>8</v>
      </c>
      <c r="F271" t="s">
        <v>9</v>
      </c>
    </row>
    <row r="272" spans="1:6" x14ac:dyDescent="0.25">
      <c r="A272">
        <v>271</v>
      </c>
      <c r="B272" t="s">
        <v>261</v>
      </c>
      <c r="C272" t="s">
        <v>477</v>
      </c>
      <c r="D272">
        <v>18300</v>
      </c>
      <c r="E272" t="s">
        <v>8</v>
      </c>
      <c r="F272" t="s">
        <v>9</v>
      </c>
    </row>
    <row r="273" spans="1:6" x14ac:dyDescent="0.25">
      <c r="A273">
        <v>272</v>
      </c>
      <c r="B273" t="s">
        <v>208</v>
      </c>
      <c r="C273" t="s">
        <v>478</v>
      </c>
      <c r="D273">
        <v>16900</v>
      </c>
      <c r="E273" t="s">
        <v>38</v>
      </c>
      <c r="F273" t="s">
        <v>9</v>
      </c>
    </row>
    <row r="274" spans="1:6" x14ac:dyDescent="0.25">
      <c r="A274">
        <v>273</v>
      </c>
      <c r="B274" t="s">
        <v>114</v>
      </c>
      <c r="C274" t="s">
        <v>479</v>
      </c>
      <c r="D274">
        <v>25600</v>
      </c>
      <c r="E274" t="s">
        <v>8</v>
      </c>
      <c r="F274" t="s">
        <v>20</v>
      </c>
    </row>
    <row r="275" spans="1:6" x14ac:dyDescent="0.25">
      <c r="A275">
        <v>274</v>
      </c>
      <c r="B275" t="s">
        <v>242</v>
      </c>
      <c r="C275" t="s">
        <v>480</v>
      </c>
      <c r="D275">
        <v>7200</v>
      </c>
      <c r="E275" t="s">
        <v>8</v>
      </c>
      <c r="F275" t="s">
        <v>20</v>
      </c>
    </row>
    <row r="276" spans="1:6" x14ac:dyDescent="0.25">
      <c r="A276">
        <v>275</v>
      </c>
      <c r="B276" t="s">
        <v>147</v>
      </c>
      <c r="C276" t="s">
        <v>481</v>
      </c>
      <c r="D276">
        <v>9600</v>
      </c>
      <c r="E276" t="s">
        <v>8</v>
      </c>
      <c r="F276" t="s">
        <v>9</v>
      </c>
    </row>
    <row r="277" spans="1:6" x14ac:dyDescent="0.25">
      <c r="A277">
        <v>276</v>
      </c>
      <c r="B277" t="s">
        <v>52</v>
      </c>
      <c r="C277" t="s">
        <v>482</v>
      </c>
      <c r="D277">
        <v>151100</v>
      </c>
      <c r="E277" t="s">
        <v>23</v>
      </c>
      <c r="F277" t="s">
        <v>9</v>
      </c>
    </row>
    <row r="278" spans="1:6" x14ac:dyDescent="0.25">
      <c r="A278">
        <v>277</v>
      </c>
      <c r="B278" t="s">
        <v>51</v>
      </c>
      <c r="C278" t="s">
        <v>472</v>
      </c>
      <c r="D278">
        <v>44900</v>
      </c>
      <c r="E278" t="s">
        <v>23</v>
      </c>
      <c r="F278" t="s">
        <v>9</v>
      </c>
    </row>
    <row r="279" spans="1:6" x14ac:dyDescent="0.25">
      <c r="A279">
        <v>278</v>
      </c>
      <c r="B279" t="s">
        <v>310</v>
      </c>
      <c r="C279" t="s">
        <v>473</v>
      </c>
      <c r="D279">
        <v>30100</v>
      </c>
      <c r="E279" t="s">
        <v>8</v>
      </c>
      <c r="F279" t="s">
        <v>20</v>
      </c>
    </row>
    <row r="280" spans="1:6" x14ac:dyDescent="0.25">
      <c r="A280">
        <v>279</v>
      </c>
      <c r="B280" t="s">
        <v>316</v>
      </c>
      <c r="C280" t="s">
        <v>474</v>
      </c>
      <c r="D280">
        <v>124800</v>
      </c>
      <c r="E280" t="s">
        <v>8</v>
      </c>
      <c r="F280" t="s">
        <v>9</v>
      </c>
    </row>
    <row r="281" spans="1:6" x14ac:dyDescent="0.25">
      <c r="A281">
        <v>280</v>
      </c>
      <c r="B281" t="s">
        <v>313</v>
      </c>
      <c r="C281" t="s">
        <v>475</v>
      </c>
      <c r="D281">
        <v>43800</v>
      </c>
      <c r="E281" t="s">
        <v>8</v>
      </c>
      <c r="F281" t="s">
        <v>9</v>
      </c>
    </row>
    <row r="282" spans="1:6" x14ac:dyDescent="0.25">
      <c r="A282">
        <v>281</v>
      </c>
      <c r="B282" t="s">
        <v>348</v>
      </c>
      <c r="C282" t="s">
        <v>409</v>
      </c>
      <c r="D282">
        <v>40300</v>
      </c>
      <c r="E282" t="s">
        <v>8</v>
      </c>
      <c r="F282" t="s">
        <v>9</v>
      </c>
    </row>
    <row r="283" spans="1:6" x14ac:dyDescent="0.25">
      <c r="A283">
        <v>282</v>
      </c>
      <c r="B283" t="s">
        <v>314</v>
      </c>
      <c r="C283" t="s">
        <v>476</v>
      </c>
      <c r="D283">
        <v>84800</v>
      </c>
      <c r="E283" t="s">
        <v>23</v>
      </c>
      <c r="F283" t="s">
        <v>9</v>
      </c>
    </row>
    <row r="284" spans="1:6" x14ac:dyDescent="0.25">
      <c r="A284">
        <v>283</v>
      </c>
      <c r="B284" t="s">
        <v>69</v>
      </c>
      <c r="C284" t="s">
        <v>477</v>
      </c>
      <c r="D284">
        <v>34500</v>
      </c>
      <c r="E284" t="s">
        <v>8</v>
      </c>
      <c r="F284" t="s">
        <v>9</v>
      </c>
    </row>
    <row r="285" spans="1:6" x14ac:dyDescent="0.25">
      <c r="A285">
        <v>284</v>
      </c>
      <c r="B285" t="s">
        <v>108</v>
      </c>
      <c r="C285" t="s">
        <v>478</v>
      </c>
      <c r="D285">
        <v>201300</v>
      </c>
      <c r="E285" t="s">
        <v>8</v>
      </c>
      <c r="F285" t="s">
        <v>9</v>
      </c>
    </row>
    <row r="286" spans="1:6" x14ac:dyDescent="0.25">
      <c r="A286">
        <v>285</v>
      </c>
      <c r="B286" t="s">
        <v>249</v>
      </c>
      <c r="C286" t="s">
        <v>479</v>
      </c>
      <c r="D286">
        <v>46800</v>
      </c>
      <c r="E286" t="s">
        <v>8</v>
      </c>
      <c r="F286" t="s">
        <v>9</v>
      </c>
    </row>
    <row r="287" spans="1:6" x14ac:dyDescent="0.25">
      <c r="A287">
        <v>286</v>
      </c>
      <c r="B287" t="s">
        <v>404</v>
      </c>
      <c r="C287" t="s">
        <v>480</v>
      </c>
      <c r="D287">
        <v>82000</v>
      </c>
      <c r="E287" t="s">
        <v>8</v>
      </c>
      <c r="F287" t="s">
        <v>9</v>
      </c>
    </row>
    <row r="288" spans="1:6" x14ac:dyDescent="0.25">
      <c r="A288">
        <v>287</v>
      </c>
      <c r="B288" t="s">
        <v>187</v>
      </c>
      <c r="C288" t="s">
        <v>481</v>
      </c>
      <c r="D288">
        <v>12200</v>
      </c>
      <c r="E288" t="s">
        <v>8</v>
      </c>
      <c r="F288" t="s">
        <v>9</v>
      </c>
    </row>
    <row r="289" spans="1:6" x14ac:dyDescent="0.25">
      <c r="A289">
        <v>288</v>
      </c>
      <c r="B289" t="s">
        <v>420</v>
      </c>
      <c r="C289" t="s">
        <v>482</v>
      </c>
      <c r="D289">
        <v>55400</v>
      </c>
      <c r="E289" t="s">
        <v>8</v>
      </c>
      <c r="F289" t="s">
        <v>20</v>
      </c>
    </row>
    <row r="290" spans="1:6" x14ac:dyDescent="0.25">
      <c r="A290">
        <v>289</v>
      </c>
      <c r="B290" t="s">
        <v>398</v>
      </c>
      <c r="C290" t="s">
        <v>472</v>
      </c>
      <c r="D290">
        <v>16700</v>
      </c>
      <c r="E290" t="s">
        <v>8</v>
      </c>
      <c r="F290" t="s">
        <v>9</v>
      </c>
    </row>
    <row r="291" spans="1:6" x14ac:dyDescent="0.25">
      <c r="A291">
        <v>290</v>
      </c>
      <c r="B291" t="s">
        <v>43</v>
      </c>
      <c r="C291" t="s">
        <v>473</v>
      </c>
      <c r="D291">
        <v>5000</v>
      </c>
      <c r="E291" t="s">
        <v>8</v>
      </c>
      <c r="F291" t="s">
        <v>9</v>
      </c>
    </row>
    <row r="292" spans="1:6" x14ac:dyDescent="0.25">
      <c r="A292">
        <v>291</v>
      </c>
      <c r="B292" t="s">
        <v>221</v>
      </c>
      <c r="C292" t="s">
        <v>474</v>
      </c>
      <c r="D292">
        <v>49200</v>
      </c>
      <c r="E292" t="s">
        <v>8</v>
      </c>
      <c r="F292" t="s">
        <v>20</v>
      </c>
    </row>
    <row r="293" spans="1:6" x14ac:dyDescent="0.25">
      <c r="A293">
        <v>292</v>
      </c>
      <c r="B293" t="s">
        <v>155</v>
      </c>
      <c r="C293" t="s">
        <v>475</v>
      </c>
      <c r="D293">
        <v>135500</v>
      </c>
      <c r="E293" t="s">
        <v>8</v>
      </c>
      <c r="F293" t="s">
        <v>9</v>
      </c>
    </row>
    <row r="294" spans="1:6" x14ac:dyDescent="0.25">
      <c r="A294">
        <v>293</v>
      </c>
      <c r="B294" t="s">
        <v>370</v>
      </c>
      <c r="C294" t="s">
        <v>409</v>
      </c>
      <c r="D294">
        <v>28600</v>
      </c>
      <c r="E294" t="s">
        <v>23</v>
      </c>
      <c r="F294" t="s">
        <v>20</v>
      </c>
    </row>
    <row r="295" spans="1:6" x14ac:dyDescent="0.25">
      <c r="A295">
        <v>294</v>
      </c>
      <c r="B295" t="s">
        <v>370</v>
      </c>
      <c r="C295" t="s">
        <v>476</v>
      </c>
      <c r="D295">
        <v>23600</v>
      </c>
      <c r="E295" t="s">
        <v>23</v>
      </c>
      <c r="F295" t="s">
        <v>9</v>
      </c>
    </row>
    <row r="296" spans="1:6" x14ac:dyDescent="0.25">
      <c r="A296">
        <v>295</v>
      </c>
      <c r="B296" t="s">
        <v>247</v>
      </c>
      <c r="C296" t="s">
        <v>477</v>
      </c>
      <c r="D296">
        <v>36300</v>
      </c>
      <c r="E296" t="s">
        <v>23</v>
      </c>
      <c r="F296" t="s">
        <v>9</v>
      </c>
    </row>
    <row r="297" spans="1:6" x14ac:dyDescent="0.25">
      <c r="A297">
        <v>296</v>
      </c>
      <c r="B297" t="s">
        <v>329</v>
      </c>
      <c r="C297" t="s">
        <v>478</v>
      </c>
      <c r="D297">
        <v>22100</v>
      </c>
      <c r="E297" t="s">
        <v>8</v>
      </c>
      <c r="F297" t="s">
        <v>9</v>
      </c>
    </row>
    <row r="298" spans="1:6" x14ac:dyDescent="0.25">
      <c r="A298">
        <v>297</v>
      </c>
      <c r="B298" t="s">
        <v>247</v>
      </c>
      <c r="C298" t="s">
        <v>479</v>
      </c>
      <c r="D298">
        <v>22800</v>
      </c>
      <c r="E298" t="s">
        <v>8</v>
      </c>
      <c r="F298" t="s">
        <v>9</v>
      </c>
    </row>
    <row r="299" spans="1:6" x14ac:dyDescent="0.25">
      <c r="A299">
        <v>298</v>
      </c>
      <c r="B299" t="s">
        <v>351</v>
      </c>
      <c r="C299" t="s">
        <v>480</v>
      </c>
      <c r="D299">
        <v>52700</v>
      </c>
      <c r="E299" t="s">
        <v>8</v>
      </c>
      <c r="F299" t="s">
        <v>20</v>
      </c>
    </row>
    <row r="300" spans="1:6" x14ac:dyDescent="0.25">
      <c r="A300">
        <v>299</v>
      </c>
      <c r="B300" t="s">
        <v>240</v>
      </c>
      <c r="C300" t="s">
        <v>481</v>
      </c>
      <c r="D300">
        <v>102800</v>
      </c>
      <c r="E300" t="s">
        <v>8</v>
      </c>
      <c r="F300" t="s">
        <v>9</v>
      </c>
    </row>
    <row r="301" spans="1:6" x14ac:dyDescent="0.25">
      <c r="A301">
        <v>300</v>
      </c>
      <c r="B301" t="s">
        <v>364</v>
      </c>
      <c r="C301" t="s">
        <v>482</v>
      </c>
      <c r="D301">
        <v>5000</v>
      </c>
      <c r="E301" t="s">
        <v>8</v>
      </c>
      <c r="F301" t="s">
        <v>9</v>
      </c>
    </row>
    <row r="302" spans="1:6" x14ac:dyDescent="0.25">
      <c r="A302">
        <v>301</v>
      </c>
      <c r="B302" t="s">
        <v>201</v>
      </c>
      <c r="C302" t="s">
        <v>472</v>
      </c>
      <c r="D302">
        <v>10700</v>
      </c>
      <c r="E302" t="s">
        <v>23</v>
      </c>
      <c r="F302" t="s">
        <v>9</v>
      </c>
    </row>
    <row r="303" spans="1:6" x14ac:dyDescent="0.25">
      <c r="A303">
        <v>302</v>
      </c>
      <c r="B303" t="s">
        <v>235</v>
      </c>
      <c r="C303" t="s">
        <v>473</v>
      </c>
      <c r="D303">
        <v>50800</v>
      </c>
      <c r="E303" t="s">
        <v>8</v>
      </c>
      <c r="F303" t="s">
        <v>9</v>
      </c>
    </row>
    <row r="304" spans="1:6" x14ac:dyDescent="0.25">
      <c r="A304">
        <v>303</v>
      </c>
      <c r="B304" t="s">
        <v>65</v>
      </c>
      <c r="C304" t="s">
        <v>474</v>
      </c>
      <c r="D304">
        <v>122300</v>
      </c>
      <c r="E304" t="s">
        <v>8</v>
      </c>
      <c r="F304" t="s">
        <v>20</v>
      </c>
    </row>
    <row r="305" spans="1:6" x14ac:dyDescent="0.25">
      <c r="A305">
        <v>304</v>
      </c>
      <c r="B305" t="s">
        <v>85</v>
      </c>
      <c r="C305" t="s">
        <v>475</v>
      </c>
      <c r="D305">
        <v>10600</v>
      </c>
      <c r="E305" t="s">
        <v>38</v>
      </c>
      <c r="F305" t="s">
        <v>9</v>
      </c>
    </row>
    <row r="306" spans="1:6" x14ac:dyDescent="0.25">
      <c r="A306">
        <v>305</v>
      </c>
      <c r="B306" t="s">
        <v>39</v>
      </c>
      <c r="C306" t="s">
        <v>409</v>
      </c>
      <c r="D306">
        <v>265800</v>
      </c>
      <c r="E306" t="s">
        <v>8</v>
      </c>
      <c r="F306" t="s">
        <v>9</v>
      </c>
    </row>
    <row r="307" spans="1:6" x14ac:dyDescent="0.25">
      <c r="A307">
        <v>306</v>
      </c>
      <c r="B307" t="s">
        <v>24</v>
      </c>
      <c r="C307" t="s">
        <v>476</v>
      </c>
      <c r="D307">
        <v>30000</v>
      </c>
      <c r="E307" t="s">
        <v>8</v>
      </c>
      <c r="F307" t="s">
        <v>9</v>
      </c>
    </row>
    <row r="308" spans="1:6" x14ac:dyDescent="0.25">
      <c r="A308">
        <v>307</v>
      </c>
      <c r="B308" t="s">
        <v>351</v>
      </c>
      <c r="C308" t="s">
        <v>477</v>
      </c>
      <c r="D308">
        <v>239100</v>
      </c>
      <c r="E308" t="s">
        <v>23</v>
      </c>
      <c r="F308" t="s">
        <v>9</v>
      </c>
    </row>
    <row r="309" spans="1:6" x14ac:dyDescent="0.25">
      <c r="A309">
        <v>308</v>
      </c>
      <c r="B309" t="s">
        <v>180</v>
      </c>
      <c r="C309" t="s">
        <v>478</v>
      </c>
      <c r="D309">
        <v>24800</v>
      </c>
      <c r="E309" t="s">
        <v>23</v>
      </c>
      <c r="F309" t="s">
        <v>9</v>
      </c>
    </row>
    <row r="310" spans="1:6" x14ac:dyDescent="0.25">
      <c r="A310">
        <v>309</v>
      </c>
      <c r="B310" t="s">
        <v>128</v>
      </c>
      <c r="C310" t="s">
        <v>472</v>
      </c>
      <c r="D310">
        <v>450000</v>
      </c>
      <c r="E310" t="s">
        <v>8</v>
      </c>
      <c r="F310" t="s">
        <v>9</v>
      </c>
    </row>
    <row r="311" spans="1:6" x14ac:dyDescent="0.25">
      <c r="A311">
        <v>310</v>
      </c>
      <c r="B311" t="s">
        <v>316</v>
      </c>
      <c r="C311" t="s">
        <v>480</v>
      </c>
      <c r="D311">
        <v>47300</v>
      </c>
      <c r="E311" t="s">
        <v>38</v>
      </c>
      <c r="F311" t="s">
        <v>9</v>
      </c>
    </row>
    <row r="312" spans="1:6" x14ac:dyDescent="0.25">
      <c r="A312">
        <v>311</v>
      </c>
      <c r="B312" t="s">
        <v>272</v>
      </c>
      <c r="C312" t="s">
        <v>481</v>
      </c>
      <c r="D312">
        <v>10100</v>
      </c>
      <c r="E312" t="s">
        <v>8</v>
      </c>
      <c r="F312" t="s">
        <v>9</v>
      </c>
    </row>
    <row r="313" spans="1:6" x14ac:dyDescent="0.25">
      <c r="A313">
        <v>312</v>
      </c>
      <c r="B313" t="s">
        <v>88</v>
      </c>
      <c r="C313" t="s">
        <v>482</v>
      </c>
      <c r="D313">
        <v>37500</v>
      </c>
      <c r="E313" t="s">
        <v>38</v>
      </c>
      <c r="F313" t="s">
        <v>9</v>
      </c>
    </row>
    <row r="314" spans="1:6" x14ac:dyDescent="0.25">
      <c r="A314">
        <v>313</v>
      </c>
      <c r="B314" t="s">
        <v>163</v>
      </c>
      <c r="C314" t="s">
        <v>472</v>
      </c>
      <c r="D314">
        <v>21300</v>
      </c>
      <c r="E314" t="s">
        <v>8</v>
      </c>
      <c r="F314" t="s">
        <v>9</v>
      </c>
    </row>
    <row r="315" spans="1:6" x14ac:dyDescent="0.25">
      <c r="A315">
        <v>314</v>
      </c>
      <c r="B315" t="s">
        <v>264</v>
      </c>
      <c r="C315" t="s">
        <v>473</v>
      </c>
      <c r="D315">
        <v>7200</v>
      </c>
      <c r="E315" t="s">
        <v>38</v>
      </c>
      <c r="F315" t="s">
        <v>20</v>
      </c>
    </row>
    <row r="316" spans="1:6" x14ac:dyDescent="0.25">
      <c r="A316">
        <v>315</v>
      </c>
      <c r="B316" t="s">
        <v>397</v>
      </c>
      <c r="C316" t="s">
        <v>474</v>
      </c>
      <c r="D316">
        <v>56600</v>
      </c>
      <c r="E316" t="s">
        <v>8</v>
      </c>
      <c r="F316" t="s">
        <v>9</v>
      </c>
    </row>
    <row r="317" spans="1:6" x14ac:dyDescent="0.25">
      <c r="A317">
        <v>316</v>
      </c>
      <c r="B317" t="s">
        <v>225</v>
      </c>
      <c r="C317" t="s">
        <v>475</v>
      </c>
      <c r="D317">
        <v>67800</v>
      </c>
      <c r="E317" t="s">
        <v>8</v>
      </c>
      <c r="F317" t="s">
        <v>9</v>
      </c>
    </row>
    <row r="318" spans="1:6" x14ac:dyDescent="0.25">
      <c r="A318">
        <v>317</v>
      </c>
      <c r="B318" t="s">
        <v>346</v>
      </c>
      <c r="C318" t="s">
        <v>409</v>
      </c>
      <c r="D318">
        <v>22100</v>
      </c>
      <c r="E318" t="s">
        <v>8</v>
      </c>
      <c r="F318" t="s">
        <v>9</v>
      </c>
    </row>
    <row r="319" spans="1:6" x14ac:dyDescent="0.25">
      <c r="A319">
        <v>318</v>
      </c>
      <c r="B319" t="s">
        <v>183</v>
      </c>
      <c r="C319" t="s">
        <v>476</v>
      </c>
      <c r="D319">
        <v>13600</v>
      </c>
      <c r="E319" t="s">
        <v>23</v>
      </c>
      <c r="F319" t="s">
        <v>9</v>
      </c>
    </row>
    <row r="320" spans="1:6" x14ac:dyDescent="0.25">
      <c r="A320">
        <v>319</v>
      </c>
      <c r="B320" t="s">
        <v>402</v>
      </c>
      <c r="C320" t="s">
        <v>477</v>
      </c>
      <c r="D320">
        <v>97700</v>
      </c>
      <c r="E320" t="s">
        <v>8</v>
      </c>
      <c r="F320" t="s">
        <v>9</v>
      </c>
    </row>
    <row r="321" spans="1:6" x14ac:dyDescent="0.25">
      <c r="A321">
        <v>320</v>
      </c>
      <c r="B321" t="s">
        <v>193</v>
      </c>
      <c r="C321" t="s">
        <v>478</v>
      </c>
      <c r="D321">
        <v>14600</v>
      </c>
      <c r="E321" t="s">
        <v>8</v>
      </c>
      <c r="F321" t="s">
        <v>9</v>
      </c>
    </row>
    <row r="322" spans="1:6" x14ac:dyDescent="0.25">
      <c r="A322">
        <v>321</v>
      </c>
      <c r="B322" t="s">
        <v>195</v>
      </c>
      <c r="C322" t="s">
        <v>479</v>
      </c>
      <c r="D322">
        <v>98000</v>
      </c>
      <c r="E322" t="s">
        <v>8</v>
      </c>
      <c r="F322" t="s">
        <v>9</v>
      </c>
    </row>
    <row r="323" spans="1:6" x14ac:dyDescent="0.25">
      <c r="A323">
        <v>322</v>
      </c>
      <c r="B323" t="s">
        <v>336</v>
      </c>
      <c r="C323" t="s">
        <v>480</v>
      </c>
      <c r="D323">
        <v>39700</v>
      </c>
      <c r="E323" t="s">
        <v>8</v>
      </c>
      <c r="F323" t="s">
        <v>20</v>
      </c>
    </row>
    <row r="324" spans="1:6" x14ac:dyDescent="0.25">
      <c r="A324">
        <v>323</v>
      </c>
      <c r="B324" t="s">
        <v>393</v>
      </c>
      <c r="C324" t="s">
        <v>481</v>
      </c>
      <c r="D324">
        <v>57300</v>
      </c>
      <c r="E324" t="s">
        <v>8</v>
      </c>
      <c r="F324" t="s">
        <v>9</v>
      </c>
    </row>
    <row r="325" spans="1:6" x14ac:dyDescent="0.25">
      <c r="A325">
        <v>324</v>
      </c>
      <c r="B325" t="s">
        <v>54</v>
      </c>
      <c r="C325" t="s">
        <v>482</v>
      </c>
      <c r="D325">
        <v>162300</v>
      </c>
      <c r="E325" t="s">
        <v>8</v>
      </c>
      <c r="F325" t="s">
        <v>9</v>
      </c>
    </row>
    <row r="326" spans="1:6" x14ac:dyDescent="0.25">
      <c r="A326">
        <v>325</v>
      </c>
      <c r="B326" t="s">
        <v>73</v>
      </c>
      <c r="C326" t="s">
        <v>472</v>
      </c>
      <c r="D326">
        <v>40700</v>
      </c>
      <c r="E326" t="s">
        <v>8</v>
      </c>
      <c r="F326" t="s">
        <v>9</v>
      </c>
    </row>
    <row r="327" spans="1:6" x14ac:dyDescent="0.25">
      <c r="A327">
        <v>326</v>
      </c>
      <c r="B327" t="s">
        <v>178</v>
      </c>
      <c r="C327" t="s">
        <v>473</v>
      </c>
      <c r="D327">
        <v>78300</v>
      </c>
      <c r="E327" t="s">
        <v>8</v>
      </c>
      <c r="F327" t="s">
        <v>9</v>
      </c>
    </row>
    <row r="328" spans="1:6" x14ac:dyDescent="0.25">
      <c r="A328">
        <v>327</v>
      </c>
      <c r="B328" t="s">
        <v>267</v>
      </c>
      <c r="C328" t="s">
        <v>474</v>
      </c>
      <c r="D328">
        <v>25600</v>
      </c>
      <c r="E328" t="s">
        <v>23</v>
      </c>
      <c r="F328" t="s">
        <v>9</v>
      </c>
    </row>
    <row r="329" spans="1:6" x14ac:dyDescent="0.25">
      <c r="A329">
        <v>328</v>
      </c>
      <c r="B329" t="s">
        <v>212</v>
      </c>
      <c r="C329" t="s">
        <v>475</v>
      </c>
      <c r="D329">
        <v>228400</v>
      </c>
      <c r="E329" t="s">
        <v>8</v>
      </c>
      <c r="F329" t="s">
        <v>9</v>
      </c>
    </row>
    <row r="330" spans="1:6" x14ac:dyDescent="0.25">
      <c r="A330">
        <v>329</v>
      </c>
      <c r="B330" t="s">
        <v>63</v>
      </c>
      <c r="C330" t="s">
        <v>409</v>
      </c>
      <c r="D330">
        <v>25300</v>
      </c>
      <c r="E330" t="s">
        <v>8</v>
      </c>
      <c r="F330" t="s">
        <v>9</v>
      </c>
    </row>
    <row r="331" spans="1:6" x14ac:dyDescent="0.25">
      <c r="A331">
        <v>330</v>
      </c>
      <c r="B331" t="s">
        <v>60</v>
      </c>
      <c r="C331" t="s">
        <v>476</v>
      </c>
      <c r="D331">
        <v>32700</v>
      </c>
      <c r="E331" t="s">
        <v>8</v>
      </c>
      <c r="F331" t="s">
        <v>9</v>
      </c>
    </row>
    <row r="332" spans="1:6" x14ac:dyDescent="0.25">
      <c r="A332">
        <v>331</v>
      </c>
      <c r="B332" t="s">
        <v>234</v>
      </c>
      <c r="C332" t="s">
        <v>477</v>
      </c>
      <c r="D332">
        <v>10700</v>
      </c>
      <c r="E332" t="s">
        <v>8</v>
      </c>
      <c r="F332" t="s">
        <v>9</v>
      </c>
    </row>
    <row r="333" spans="1:6" x14ac:dyDescent="0.25">
      <c r="A333">
        <v>332</v>
      </c>
      <c r="B333" t="s">
        <v>262</v>
      </c>
      <c r="C333" t="s">
        <v>478</v>
      </c>
      <c r="D333">
        <v>53400</v>
      </c>
      <c r="E333" t="s">
        <v>8</v>
      </c>
      <c r="F333" t="s">
        <v>9</v>
      </c>
    </row>
    <row r="334" spans="1:6" x14ac:dyDescent="0.25">
      <c r="A334">
        <v>333</v>
      </c>
      <c r="B334" t="s">
        <v>188</v>
      </c>
      <c r="C334" t="s">
        <v>479</v>
      </c>
      <c r="D334">
        <v>39000</v>
      </c>
      <c r="E334" t="s">
        <v>8</v>
      </c>
      <c r="F334" t="s">
        <v>9</v>
      </c>
    </row>
    <row r="335" spans="1:6" x14ac:dyDescent="0.25">
      <c r="A335">
        <v>334</v>
      </c>
      <c r="B335" t="s">
        <v>10</v>
      </c>
      <c r="C335" t="s">
        <v>480</v>
      </c>
      <c r="D335">
        <v>8900</v>
      </c>
      <c r="E335" t="s">
        <v>38</v>
      </c>
      <c r="F335" t="s">
        <v>9</v>
      </c>
    </row>
    <row r="336" spans="1:6" x14ac:dyDescent="0.25">
      <c r="A336">
        <v>335</v>
      </c>
      <c r="B336" t="s">
        <v>125</v>
      </c>
      <c r="C336" t="s">
        <v>481</v>
      </c>
      <c r="D336">
        <v>21000</v>
      </c>
      <c r="E336" t="s">
        <v>23</v>
      </c>
      <c r="F336" t="s">
        <v>9</v>
      </c>
    </row>
    <row r="337" spans="1:6" x14ac:dyDescent="0.25">
      <c r="A337">
        <v>336</v>
      </c>
      <c r="B337" t="s">
        <v>318</v>
      </c>
      <c r="C337" t="s">
        <v>482</v>
      </c>
      <c r="D337">
        <v>16100</v>
      </c>
      <c r="E337" t="s">
        <v>8</v>
      </c>
      <c r="F337" t="s">
        <v>9</v>
      </c>
    </row>
    <row r="338" spans="1:6" x14ac:dyDescent="0.25">
      <c r="A338">
        <v>337</v>
      </c>
      <c r="B338" t="s">
        <v>72</v>
      </c>
      <c r="C338" t="s">
        <v>472</v>
      </c>
      <c r="D338">
        <v>49000</v>
      </c>
      <c r="E338" t="s">
        <v>38</v>
      </c>
      <c r="F338" t="s">
        <v>20</v>
      </c>
    </row>
    <row r="339" spans="1:6" x14ac:dyDescent="0.25">
      <c r="A339">
        <v>338</v>
      </c>
      <c r="B339" t="s">
        <v>265</v>
      </c>
      <c r="C339" t="s">
        <v>473</v>
      </c>
      <c r="D339">
        <v>185800</v>
      </c>
      <c r="E339" t="s">
        <v>8</v>
      </c>
      <c r="F339" t="s">
        <v>20</v>
      </c>
    </row>
    <row r="340" spans="1:6" x14ac:dyDescent="0.25">
      <c r="A340">
        <v>339</v>
      </c>
      <c r="B340" t="s">
        <v>374</v>
      </c>
      <c r="C340" t="s">
        <v>474</v>
      </c>
      <c r="D340">
        <v>55300</v>
      </c>
      <c r="E340" t="s">
        <v>8</v>
      </c>
      <c r="F340" t="s">
        <v>9</v>
      </c>
    </row>
    <row r="341" spans="1:6" x14ac:dyDescent="0.25">
      <c r="A341">
        <v>340</v>
      </c>
      <c r="B341" t="s">
        <v>341</v>
      </c>
      <c r="C341" t="s">
        <v>475</v>
      </c>
      <c r="D341">
        <v>25800</v>
      </c>
      <c r="E341" t="s">
        <v>8</v>
      </c>
      <c r="F341" t="s">
        <v>9</v>
      </c>
    </row>
    <row r="342" spans="1:6" x14ac:dyDescent="0.25">
      <c r="A342">
        <v>341</v>
      </c>
      <c r="B342" t="s">
        <v>34</v>
      </c>
      <c r="C342" t="s">
        <v>409</v>
      </c>
      <c r="D342">
        <v>14500</v>
      </c>
      <c r="E342" t="s">
        <v>38</v>
      </c>
      <c r="F342" t="s">
        <v>9</v>
      </c>
    </row>
    <row r="343" spans="1:6" x14ac:dyDescent="0.25">
      <c r="A343">
        <v>342</v>
      </c>
      <c r="B343" t="s">
        <v>403</v>
      </c>
      <c r="C343" t="s">
        <v>476</v>
      </c>
      <c r="D343">
        <v>13400</v>
      </c>
      <c r="E343" t="s">
        <v>8</v>
      </c>
      <c r="F343" t="s">
        <v>20</v>
      </c>
    </row>
    <row r="344" spans="1:6" x14ac:dyDescent="0.25">
      <c r="A344">
        <v>343</v>
      </c>
      <c r="B344" t="s">
        <v>276</v>
      </c>
      <c r="C344" t="s">
        <v>477</v>
      </c>
      <c r="D344">
        <v>27500</v>
      </c>
      <c r="E344" t="s">
        <v>8</v>
      </c>
      <c r="F344" t="s">
        <v>9</v>
      </c>
    </row>
    <row r="345" spans="1:6" x14ac:dyDescent="0.25">
      <c r="A345">
        <v>344</v>
      </c>
      <c r="B345" t="s">
        <v>349</v>
      </c>
      <c r="C345" t="s">
        <v>478</v>
      </c>
      <c r="D345">
        <v>33800</v>
      </c>
      <c r="E345" t="s">
        <v>8</v>
      </c>
      <c r="F345" t="s">
        <v>20</v>
      </c>
    </row>
    <row r="346" spans="1:6" x14ac:dyDescent="0.25">
      <c r="A346">
        <v>345</v>
      </c>
      <c r="B346" t="s">
        <v>421</v>
      </c>
      <c r="C346" t="s">
        <v>479</v>
      </c>
      <c r="D346">
        <v>19500</v>
      </c>
      <c r="E346" t="s">
        <v>8</v>
      </c>
      <c r="F346" t="s">
        <v>9</v>
      </c>
    </row>
    <row r="347" spans="1:6" x14ac:dyDescent="0.25">
      <c r="A347">
        <v>346</v>
      </c>
      <c r="B347" t="s">
        <v>39</v>
      </c>
      <c r="C347" t="s">
        <v>480</v>
      </c>
      <c r="D347">
        <v>31100</v>
      </c>
      <c r="E347" t="s">
        <v>8</v>
      </c>
      <c r="F347" t="s">
        <v>9</v>
      </c>
    </row>
    <row r="348" spans="1:6" x14ac:dyDescent="0.25">
      <c r="A348">
        <v>347</v>
      </c>
      <c r="B348" t="s">
        <v>362</v>
      </c>
      <c r="C348" t="s">
        <v>481</v>
      </c>
      <c r="D348">
        <v>27900</v>
      </c>
      <c r="E348" t="s">
        <v>8</v>
      </c>
      <c r="F348" t="s">
        <v>9</v>
      </c>
    </row>
    <row r="349" spans="1:6" x14ac:dyDescent="0.25">
      <c r="A349">
        <v>348</v>
      </c>
      <c r="B349" t="s">
        <v>316</v>
      </c>
      <c r="C349" t="s">
        <v>482</v>
      </c>
      <c r="D349">
        <v>28900</v>
      </c>
      <c r="E349" t="s">
        <v>8</v>
      </c>
      <c r="F349" t="s">
        <v>9</v>
      </c>
    </row>
    <row r="350" spans="1:6" x14ac:dyDescent="0.25">
      <c r="A350">
        <v>349</v>
      </c>
      <c r="B350" t="s">
        <v>272</v>
      </c>
      <c r="C350" t="s">
        <v>472</v>
      </c>
      <c r="D350">
        <v>17200</v>
      </c>
      <c r="E350" t="s">
        <v>23</v>
      </c>
      <c r="F350" t="s">
        <v>20</v>
      </c>
    </row>
    <row r="351" spans="1:6" x14ac:dyDescent="0.25">
      <c r="A351">
        <v>350</v>
      </c>
      <c r="B351" t="s">
        <v>391</v>
      </c>
      <c r="C351" t="s">
        <v>473</v>
      </c>
      <c r="D351">
        <v>28900</v>
      </c>
      <c r="E351" t="s">
        <v>8</v>
      </c>
      <c r="F351" t="s">
        <v>9</v>
      </c>
    </row>
    <row r="352" spans="1:6" x14ac:dyDescent="0.25">
      <c r="A352">
        <v>351</v>
      </c>
      <c r="B352" t="s">
        <v>145</v>
      </c>
      <c r="C352" t="s">
        <v>474</v>
      </c>
      <c r="D352">
        <v>5000</v>
      </c>
      <c r="E352" t="s">
        <v>8</v>
      </c>
      <c r="F352" t="s">
        <v>9</v>
      </c>
    </row>
    <row r="353" spans="1:6" x14ac:dyDescent="0.25">
      <c r="A353">
        <v>352</v>
      </c>
      <c r="B353" t="s">
        <v>100</v>
      </c>
      <c r="C353" t="s">
        <v>475</v>
      </c>
      <c r="D353">
        <v>164800</v>
      </c>
      <c r="E353" t="s">
        <v>8</v>
      </c>
      <c r="F353" t="s">
        <v>9</v>
      </c>
    </row>
    <row r="354" spans="1:6" x14ac:dyDescent="0.25">
      <c r="A354">
        <v>353</v>
      </c>
      <c r="B354" t="s">
        <v>103</v>
      </c>
      <c r="C354" t="s">
        <v>409</v>
      </c>
      <c r="D354">
        <v>56900</v>
      </c>
      <c r="E354" t="s">
        <v>8</v>
      </c>
      <c r="F354" t="s">
        <v>9</v>
      </c>
    </row>
    <row r="355" spans="1:6" x14ac:dyDescent="0.25">
      <c r="A355">
        <v>354</v>
      </c>
      <c r="B355" t="s">
        <v>311</v>
      </c>
      <c r="C355" t="s">
        <v>476</v>
      </c>
      <c r="D355">
        <v>23600</v>
      </c>
      <c r="E355" t="s">
        <v>8</v>
      </c>
      <c r="F355" t="s">
        <v>9</v>
      </c>
    </row>
    <row r="356" spans="1:6" x14ac:dyDescent="0.25">
      <c r="A356">
        <v>355</v>
      </c>
      <c r="B356" t="s">
        <v>139</v>
      </c>
      <c r="C356" t="s">
        <v>477</v>
      </c>
      <c r="D356">
        <v>39900</v>
      </c>
      <c r="E356" t="s">
        <v>23</v>
      </c>
      <c r="F356" t="s">
        <v>9</v>
      </c>
    </row>
    <row r="357" spans="1:6" x14ac:dyDescent="0.25">
      <c r="A357">
        <v>356</v>
      </c>
      <c r="B357" t="s">
        <v>76</v>
      </c>
      <c r="C357" t="s">
        <v>478</v>
      </c>
      <c r="D357">
        <v>173700</v>
      </c>
      <c r="E357" t="s">
        <v>8</v>
      </c>
      <c r="F357" t="s">
        <v>9</v>
      </c>
    </row>
    <row r="358" spans="1:6" x14ac:dyDescent="0.25">
      <c r="A358">
        <v>357</v>
      </c>
      <c r="B358" t="s">
        <v>326</v>
      </c>
      <c r="C358" t="s">
        <v>479</v>
      </c>
      <c r="D358">
        <v>23100</v>
      </c>
      <c r="E358" t="s">
        <v>38</v>
      </c>
      <c r="F358" t="s">
        <v>9</v>
      </c>
    </row>
    <row r="359" spans="1:6" x14ac:dyDescent="0.25">
      <c r="A359">
        <v>358</v>
      </c>
      <c r="B359" t="s">
        <v>420</v>
      </c>
      <c r="C359" t="s">
        <v>480</v>
      </c>
      <c r="D359">
        <v>62300</v>
      </c>
      <c r="E359" t="s">
        <v>8</v>
      </c>
      <c r="F359" t="s">
        <v>9</v>
      </c>
    </row>
    <row r="360" spans="1:6" x14ac:dyDescent="0.25">
      <c r="A360">
        <v>359</v>
      </c>
      <c r="B360" t="s">
        <v>354</v>
      </c>
      <c r="C360" t="s">
        <v>481</v>
      </c>
      <c r="D360">
        <v>80000</v>
      </c>
      <c r="E360" t="s">
        <v>8</v>
      </c>
      <c r="F360" t="s">
        <v>9</v>
      </c>
    </row>
    <row r="361" spans="1:6" x14ac:dyDescent="0.25">
      <c r="A361">
        <v>360</v>
      </c>
      <c r="B361" t="s">
        <v>115</v>
      </c>
      <c r="C361" t="s">
        <v>482</v>
      </c>
      <c r="D361">
        <v>41900</v>
      </c>
      <c r="E361" t="s">
        <v>8</v>
      </c>
      <c r="F361" t="s">
        <v>9</v>
      </c>
    </row>
    <row r="362" spans="1:6" x14ac:dyDescent="0.25">
      <c r="A362">
        <v>361</v>
      </c>
      <c r="B362" t="s">
        <v>197</v>
      </c>
      <c r="C362" t="s">
        <v>472</v>
      </c>
      <c r="D362">
        <v>23600</v>
      </c>
      <c r="E362" t="s">
        <v>38</v>
      </c>
      <c r="F362" t="s">
        <v>9</v>
      </c>
    </row>
    <row r="363" spans="1:6" x14ac:dyDescent="0.25">
      <c r="A363">
        <v>362</v>
      </c>
      <c r="B363" t="s">
        <v>345</v>
      </c>
      <c r="C363" t="s">
        <v>473</v>
      </c>
      <c r="D363">
        <v>5500</v>
      </c>
      <c r="E363" t="s">
        <v>8</v>
      </c>
      <c r="F363" t="s">
        <v>9</v>
      </c>
    </row>
    <row r="364" spans="1:6" x14ac:dyDescent="0.25">
      <c r="A364">
        <v>363</v>
      </c>
      <c r="B364" t="s">
        <v>245</v>
      </c>
      <c r="C364" t="s">
        <v>474</v>
      </c>
      <c r="D364">
        <v>77100</v>
      </c>
      <c r="E364" t="s">
        <v>8</v>
      </c>
      <c r="F364" t="s">
        <v>9</v>
      </c>
    </row>
    <row r="365" spans="1:6" x14ac:dyDescent="0.25">
      <c r="A365">
        <v>364</v>
      </c>
      <c r="B365" t="s">
        <v>62</v>
      </c>
      <c r="C365" t="s">
        <v>475</v>
      </c>
      <c r="D365">
        <v>17800</v>
      </c>
      <c r="E365" t="s">
        <v>8</v>
      </c>
      <c r="F365" t="s">
        <v>9</v>
      </c>
    </row>
    <row r="366" spans="1:6" x14ac:dyDescent="0.25">
      <c r="A366">
        <v>365</v>
      </c>
      <c r="B366" t="s">
        <v>333</v>
      </c>
      <c r="C366" t="s">
        <v>409</v>
      </c>
      <c r="D366">
        <v>16600</v>
      </c>
      <c r="E366" t="s">
        <v>38</v>
      </c>
      <c r="F366" t="s">
        <v>9</v>
      </c>
    </row>
    <row r="367" spans="1:6" x14ac:dyDescent="0.25">
      <c r="A367">
        <v>366</v>
      </c>
      <c r="B367" t="s">
        <v>53</v>
      </c>
      <c r="C367" t="s">
        <v>476</v>
      </c>
      <c r="D367">
        <v>15600</v>
      </c>
      <c r="E367" t="s">
        <v>8</v>
      </c>
      <c r="F367" t="s">
        <v>20</v>
      </c>
    </row>
    <row r="368" spans="1:6" x14ac:dyDescent="0.25">
      <c r="A368">
        <v>367</v>
      </c>
      <c r="B368" t="s">
        <v>65</v>
      </c>
      <c r="C368" t="s">
        <v>477</v>
      </c>
      <c r="D368">
        <v>5000</v>
      </c>
      <c r="E368" t="s">
        <v>23</v>
      </c>
      <c r="F368" t="s">
        <v>20</v>
      </c>
    </row>
    <row r="369" spans="1:6" x14ac:dyDescent="0.25">
      <c r="A369">
        <v>368</v>
      </c>
      <c r="B369" t="s">
        <v>256</v>
      </c>
      <c r="C369" t="s">
        <v>478</v>
      </c>
      <c r="D369">
        <v>25500</v>
      </c>
      <c r="E369" t="s">
        <v>8</v>
      </c>
      <c r="F369" t="s">
        <v>9</v>
      </c>
    </row>
    <row r="370" spans="1:6" x14ac:dyDescent="0.25">
      <c r="A370">
        <v>369</v>
      </c>
      <c r="B370" t="s">
        <v>113</v>
      </c>
      <c r="C370" t="s">
        <v>479</v>
      </c>
      <c r="D370">
        <v>43100</v>
      </c>
      <c r="E370" t="s">
        <v>8</v>
      </c>
      <c r="F370" t="s">
        <v>9</v>
      </c>
    </row>
    <row r="371" spans="1:6" x14ac:dyDescent="0.25">
      <c r="A371">
        <v>370</v>
      </c>
      <c r="B371" t="s">
        <v>200</v>
      </c>
      <c r="C371" t="s">
        <v>480</v>
      </c>
      <c r="D371">
        <v>11000</v>
      </c>
      <c r="E371" t="s">
        <v>8</v>
      </c>
      <c r="F371" t="s">
        <v>9</v>
      </c>
    </row>
    <row r="372" spans="1:6" x14ac:dyDescent="0.25">
      <c r="A372">
        <v>371</v>
      </c>
      <c r="B372" t="s">
        <v>54</v>
      </c>
      <c r="C372" t="s">
        <v>481</v>
      </c>
      <c r="D372">
        <v>9800</v>
      </c>
      <c r="E372" t="s">
        <v>23</v>
      </c>
      <c r="F372" t="s">
        <v>9</v>
      </c>
    </row>
    <row r="373" spans="1:6" x14ac:dyDescent="0.25">
      <c r="A373">
        <v>372</v>
      </c>
      <c r="B373" t="s">
        <v>170</v>
      </c>
      <c r="C373" t="s">
        <v>482</v>
      </c>
      <c r="D373">
        <v>22900</v>
      </c>
      <c r="E373" t="s">
        <v>23</v>
      </c>
      <c r="F373" t="s">
        <v>9</v>
      </c>
    </row>
    <row r="374" spans="1:6" x14ac:dyDescent="0.25">
      <c r="A374">
        <v>373</v>
      </c>
      <c r="B374" t="s">
        <v>224</v>
      </c>
      <c r="C374" t="s">
        <v>472</v>
      </c>
      <c r="D374">
        <v>46900</v>
      </c>
      <c r="E374" t="s">
        <v>8</v>
      </c>
      <c r="F374" t="s">
        <v>9</v>
      </c>
    </row>
    <row r="375" spans="1:6" x14ac:dyDescent="0.25">
      <c r="A375">
        <v>374</v>
      </c>
      <c r="B375" t="s">
        <v>171</v>
      </c>
      <c r="C375" t="s">
        <v>473</v>
      </c>
      <c r="D375">
        <v>244900</v>
      </c>
      <c r="E375" t="s">
        <v>8</v>
      </c>
      <c r="F375" t="s">
        <v>9</v>
      </c>
    </row>
    <row r="376" spans="1:6" x14ac:dyDescent="0.25">
      <c r="A376">
        <v>375</v>
      </c>
      <c r="B376" t="s">
        <v>200</v>
      </c>
      <c r="C376" t="s">
        <v>474</v>
      </c>
      <c r="D376">
        <v>8100</v>
      </c>
      <c r="E376" t="s">
        <v>38</v>
      </c>
      <c r="F376" t="s">
        <v>9</v>
      </c>
    </row>
    <row r="377" spans="1:6" x14ac:dyDescent="0.25">
      <c r="A377">
        <v>376</v>
      </c>
      <c r="B377" t="s">
        <v>123</v>
      </c>
      <c r="C377" t="s">
        <v>475</v>
      </c>
      <c r="D377">
        <v>43400</v>
      </c>
      <c r="E377" t="s">
        <v>8</v>
      </c>
      <c r="F377" t="s">
        <v>9</v>
      </c>
    </row>
    <row r="378" spans="1:6" x14ac:dyDescent="0.25">
      <c r="A378">
        <v>377</v>
      </c>
      <c r="B378" t="s">
        <v>125</v>
      </c>
      <c r="C378" t="s">
        <v>409</v>
      </c>
      <c r="D378">
        <v>174600</v>
      </c>
      <c r="E378" t="s">
        <v>38</v>
      </c>
      <c r="F378" t="s">
        <v>20</v>
      </c>
    </row>
    <row r="379" spans="1:6" x14ac:dyDescent="0.25">
      <c r="A379">
        <v>378</v>
      </c>
      <c r="B379" t="s">
        <v>137</v>
      </c>
      <c r="C379" t="s">
        <v>476</v>
      </c>
      <c r="D379">
        <v>71800</v>
      </c>
      <c r="E379" t="s">
        <v>8</v>
      </c>
      <c r="F379" t="s">
        <v>9</v>
      </c>
    </row>
    <row r="380" spans="1:6" x14ac:dyDescent="0.25">
      <c r="A380">
        <v>379</v>
      </c>
      <c r="B380" t="s">
        <v>171</v>
      </c>
      <c r="C380" t="s">
        <v>473</v>
      </c>
      <c r="D380">
        <v>480000</v>
      </c>
      <c r="E380" t="s">
        <v>38</v>
      </c>
      <c r="F380" t="s">
        <v>9</v>
      </c>
    </row>
    <row r="381" spans="1:6" x14ac:dyDescent="0.25">
      <c r="A381">
        <v>380</v>
      </c>
      <c r="B381" t="s">
        <v>274</v>
      </c>
      <c r="C381" t="s">
        <v>478</v>
      </c>
      <c r="D381">
        <v>57100</v>
      </c>
      <c r="E381" t="s">
        <v>8</v>
      </c>
      <c r="F381" t="s">
        <v>9</v>
      </c>
    </row>
    <row r="382" spans="1:6" x14ac:dyDescent="0.25">
      <c r="A382">
        <v>381</v>
      </c>
      <c r="B382" t="s">
        <v>333</v>
      </c>
      <c r="C382" t="s">
        <v>479</v>
      </c>
      <c r="D382">
        <v>5900</v>
      </c>
      <c r="E382" t="s">
        <v>23</v>
      </c>
      <c r="F382" t="s">
        <v>9</v>
      </c>
    </row>
    <row r="383" spans="1:6" x14ac:dyDescent="0.25">
      <c r="A383">
        <v>382</v>
      </c>
      <c r="B383" t="s">
        <v>61</v>
      </c>
      <c r="C383" t="s">
        <v>480</v>
      </c>
      <c r="D383">
        <v>84600</v>
      </c>
      <c r="E383" t="s">
        <v>23</v>
      </c>
      <c r="F383" t="s">
        <v>20</v>
      </c>
    </row>
    <row r="384" spans="1:6" x14ac:dyDescent="0.25">
      <c r="A384">
        <v>383</v>
      </c>
      <c r="B384" t="s">
        <v>82</v>
      </c>
      <c r="C384" t="s">
        <v>481</v>
      </c>
      <c r="D384">
        <v>5300</v>
      </c>
      <c r="E384" t="s">
        <v>8</v>
      </c>
      <c r="F384" t="s">
        <v>9</v>
      </c>
    </row>
    <row r="385" spans="1:6" x14ac:dyDescent="0.25">
      <c r="A385">
        <v>384</v>
      </c>
      <c r="B385" t="s">
        <v>207</v>
      </c>
      <c r="C385" t="s">
        <v>482</v>
      </c>
      <c r="D385">
        <v>9600</v>
      </c>
      <c r="E385" t="s">
        <v>8</v>
      </c>
      <c r="F385" t="s">
        <v>9</v>
      </c>
    </row>
    <row r="386" spans="1:6" x14ac:dyDescent="0.25">
      <c r="A386">
        <v>385</v>
      </c>
      <c r="B386" t="s">
        <v>165</v>
      </c>
      <c r="C386" t="s">
        <v>472</v>
      </c>
      <c r="D386">
        <v>366700</v>
      </c>
      <c r="E386" t="s">
        <v>23</v>
      </c>
      <c r="F386" t="s">
        <v>20</v>
      </c>
    </row>
    <row r="387" spans="1:6" x14ac:dyDescent="0.25">
      <c r="A387">
        <v>386</v>
      </c>
      <c r="B387" t="s">
        <v>93</v>
      </c>
      <c r="C387" t="s">
        <v>473</v>
      </c>
      <c r="D387">
        <v>31600</v>
      </c>
      <c r="E387" t="s">
        <v>38</v>
      </c>
      <c r="F387" t="s">
        <v>9</v>
      </c>
    </row>
    <row r="388" spans="1:6" x14ac:dyDescent="0.25">
      <c r="A388">
        <v>387</v>
      </c>
      <c r="B388" t="s">
        <v>399</v>
      </c>
      <c r="C388" t="s">
        <v>474</v>
      </c>
      <c r="D388">
        <v>209100</v>
      </c>
      <c r="E388" t="s">
        <v>8</v>
      </c>
      <c r="F388" t="s">
        <v>9</v>
      </c>
    </row>
    <row r="389" spans="1:6" x14ac:dyDescent="0.25">
      <c r="A389">
        <v>388</v>
      </c>
      <c r="B389" t="s">
        <v>55</v>
      </c>
      <c r="C389" t="s">
        <v>475</v>
      </c>
      <c r="D389">
        <v>38200</v>
      </c>
      <c r="E389" t="s">
        <v>38</v>
      </c>
      <c r="F389" t="s">
        <v>9</v>
      </c>
    </row>
    <row r="390" spans="1:6" x14ac:dyDescent="0.25">
      <c r="A390">
        <v>389</v>
      </c>
      <c r="B390" t="s">
        <v>420</v>
      </c>
      <c r="C390" t="s">
        <v>409</v>
      </c>
      <c r="D390">
        <v>53900</v>
      </c>
      <c r="E390" t="s">
        <v>8</v>
      </c>
      <c r="F390" t="s">
        <v>9</v>
      </c>
    </row>
    <row r="391" spans="1:6" x14ac:dyDescent="0.25">
      <c r="A391">
        <v>390</v>
      </c>
      <c r="B391" t="s">
        <v>122</v>
      </c>
      <c r="C391" t="s">
        <v>476</v>
      </c>
      <c r="D391">
        <v>93100</v>
      </c>
      <c r="E391" t="s">
        <v>8</v>
      </c>
      <c r="F391" t="s">
        <v>20</v>
      </c>
    </row>
    <row r="392" spans="1:6" x14ac:dyDescent="0.25">
      <c r="A392">
        <v>391</v>
      </c>
      <c r="B392" t="s">
        <v>24</v>
      </c>
      <c r="C392" t="s">
        <v>477</v>
      </c>
      <c r="D392">
        <v>11600</v>
      </c>
      <c r="E392" t="s">
        <v>8</v>
      </c>
      <c r="F392" t="s">
        <v>9</v>
      </c>
    </row>
    <row r="393" spans="1:6" x14ac:dyDescent="0.25">
      <c r="A393">
        <v>392</v>
      </c>
      <c r="B393" t="s">
        <v>274</v>
      </c>
      <c r="C393" t="s">
        <v>478</v>
      </c>
      <c r="D393">
        <v>40900</v>
      </c>
      <c r="E393" t="s">
        <v>8</v>
      </c>
      <c r="F393" t="s">
        <v>20</v>
      </c>
    </row>
    <row r="394" spans="1:6" x14ac:dyDescent="0.25">
      <c r="A394">
        <v>393</v>
      </c>
      <c r="B394" t="s">
        <v>71</v>
      </c>
      <c r="C394" t="s">
        <v>479</v>
      </c>
      <c r="D394">
        <v>15500</v>
      </c>
      <c r="E394" t="s">
        <v>8</v>
      </c>
      <c r="F394" t="s">
        <v>20</v>
      </c>
    </row>
    <row r="395" spans="1:6" x14ac:dyDescent="0.25">
      <c r="A395">
        <v>394</v>
      </c>
      <c r="B395" t="s">
        <v>73</v>
      </c>
      <c r="C395" t="s">
        <v>480</v>
      </c>
      <c r="D395">
        <v>10800</v>
      </c>
      <c r="E395" t="s">
        <v>38</v>
      </c>
      <c r="F395" t="s">
        <v>9</v>
      </c>
    </row>
    <row r="396" spans="1:6" x14ac:dyDescent="0.25">
      <c r="A396">
        <v>395</v>
      </c>
      <c r="B396" t="s">
        <v>342</v>
      </c>
      <c r="C396" t="s">
        <v>481</v>
      </c>
      <c r="D396">
        <v>43000</v>
      </c>
      <c r="E396" t="s">
        <v>23</v>
      </c>
      <c r="F396" t="s">
        <v>9</v>
      </c>
    </row>
    <row r="397" spans="1:6" x14ac:dyDescent="0.25">
      <c r="A397">
        <v>396</v>
      </c>
      <c r="B397" t="s">
        <v>46</v>
      </c>
      <c r="C397" t="s">
        <v>482</v>
      </c>
      <c r="D397">
        <v>11900</v>
      </c>
      <c r="E397" t="s">
        <v>8</v>
      </c>
      <c r="F397" t="s">
        <v>9</v>
      </c>
    </row>
    <row r="398" spans="1:6" x14ac:dyDescent="0.25">
      <c r="A398">
        <v>397</v>
      </c>
      <c r="B398" t="s">
        <v>199</v>
      </c>
      <c r="C398" t="s">
        <v>472</v>
      </c>
      <c r="D398">
        <v>20800</v>
      </c>
      <c r="E398" t="s">
        <v>38</v>
      </c>
      <c r="F398" t="s">
        <v>20</v>
      </c>
    </row>
    <row r="399" spans="1:6" x14ac:dyDescent="0.25">
      <c r="A399">
        <v>398</v>
      </c>
      <c r="B399" t="s">
        <v>90</v>
      </c>
      <c r="C399" t="s">
        <v>473</v>
      </c>
      <c r="D399">
        <v>104700</v>
      </c>
      <c r="E399" t="s">
        <v>23</v>
      </c>
      <c r="F399" t="s">
        <v>9</v>
      </c>
    </row>
    <row r="400" spans="1:6" x14ac:dyDescent="0.25">
      <c r="A400">
        <v>399</v>
      </c>
      <c r="B400" t="s">
        <v>221</v>
      </c>
      <c r="C400" t="s">
        <v>474</v>
      </c>
      <c r="D400">
        <v>141400</v>
      </c>
      <c r="E400" t="s">
        <v>23</v>
      </c>
      <c r="F400" t="s">
        <v>9</v>
      </c>
    </row>
    <row r="401" spans="1:6" x14ac:dyDescent="0.25">
      <c r="A401">
        <v>400</v>
      </c>
      <c r="B401" t="s">
        <v>279</v>
      </c>
      <c r="C401" t="s">
        <v>475</v>
      </c>
      <c r="D401">
        <v>16700</v>
      </c>
      <c r="E401" t="s">
        <v>8</v>
      </c>
      <c r="F401" t="s">
        <v>9</v>
      </c>
    </row>
    <row r="402" spans="1:6" x14ac:dyDescent="0.25">
      <c r="A402">
        <v>401</v>
      </c>
      <c r="B402" t="s">
        <v>319</v>
      </c>
      <c r="C402" t="s">
        <v>409</v>
      </c>
      <c r="D402">
        <v>33700</v>
      </c>
      <c r="E402" t="s">
        <v>8</v>
      </c>
      <c r="F402" t="s">
        <v>9</v>
      </c>
    </row>
    <row r="403" spans="1:6" x14ac:dyDescent="0.25">
      <c r="A403">
        <v>402</v>
      </c>
      <c r="B403" t="s">
        <v>28</v>
      </c>
      <c r="C403" t="s">
        <v>476</v>
      </c>
      <c r="D403">
        <v>14600</v>
      </c>
      <c r="E403" t="s">
        <v>8</v>
      </c>
      <c r="F403" t="s">
        <v>9</v>
      </c>
    </row>
    <row r="404" spans="1:6" x14ac:dyDescent="0.25">
      <c r="A404">
        <v>403</v>
      </c>
      <c r="B404" t="s">
        <v>199</v>
      </c>
      <c r="C404" t="s">
        <v>477</v>
      </c>
      <c r="D404">
        <v>16000</v>
      </c>
      <c r="E404" t="s">
        <v>23</v>
      </c>
      <c r="F404" t="s">
        <v>9</v>
      </c>
    </row>
    <row r="405" spans="1:6" x14ac:dyDescent="0.25">
      <c r="A405">
        <v>404</v>
      </c>
      <c r="B405" t="s">
        <v>119</v>
      </c>
      <c r="C405" t="s">
        <v>478</v>
      </c>
      <c r="D405">
        <v>29600</v>
      </c>
      <c r="E405" t="s">
        <v>38</v>
      </c>
      <c r="F405" t="s">
        <v>9</v>
      </c>
    </row>
    <row r="406" spans="1:6" x14ac:dyDescent="0.25">
      <c r="A406">
        <v>405</v>
      </c>
      <c r="B406" t="s">
        <v>214</v>
      </c>
      <c r="C406" t="s">
        <v>479</v>
      </c>
      <c r="D406">
        <v>22500</v>
      </c>
      <c r="E406" t="s">
        <v>23</v>
      </c>
      <c r="F406" t="s">
        <v>20</v>
      </c>
    </row>
    <row r="407" spans="1:6" x14ac:dyDescent="0.25">
      <c r="A407">
        <v>406</v>
      </c>
      <c r="B407" t="s">
        <v>311</v>
      </c>
      <c r="C407" t="s">
        <v>480</v>
      </c>
      <c r="D407">
        <v>18200</v>
      </c>
      <c r="E407" t="s">
        <v>38</v>
      </c>
      <c r="F407" t="s">
        <v>9</v>
      </c>
    </row>
    <row r="408" spans="1:6" x14ac:dyDescent="0.25">
      <c r="A408">
        <v>407</v>
      </c>
      <c r="B408" t="s">
        <v>50</v>
      </c>
      <c r="C408" t="s">
        <v>481</v>
      </c>
      <c r="D408">
        <v>48400</v>
      </c>
      <c r="E408" t="s">
        <v>8</v>
      </c>
      <c r="F408" t="s">
        <v>9</v>
      </c>
    </row>
    <row r="409" spans="1:6" x14ac:dyDescent="0.25">
      <c r="A409">
        <v>408</v>
      </c>
      <c r="B409" t="s">
        <v>231</v>
      </c>
      <c r="C409" t="s">
        <v>482</v>
      </c>
      <c r="D409">
        <v>19800</v>
      </c>
      <c r="E409" t="s">
        <v>8</v>
      </c>
      <c r="F409" t="s">
        <v>9</v>
      </c>
    </row>
    <row r="410" spans="1:6" x14ac:dyDescent="0.25">
      <c r="A410">
        <v>409</v>
      </c>
      <c r="B410" t="s">
        <v>44</v>
      </c>
      <c r="C410" t="s">
        <v>472</v>
      </c>
      <c r="D410">
        <v>15000</v>
      </c>
      <c r="E410" t="s">
        <v>8</v>
      </c>
      <c r="F410" t="s">
        <v>20</v>
      </c>
    </row>
    <row r="411" spans="1:6" x14ac:dyDescent="0.25">
      <c r="A411">
        <v>410</v>
      </c>
      <c r="B411" t="s">
        <v>73</v>
      </c>
      <c r="C411" t="s">
        <v>473</v>
      </c>
      <c r="D411">
        <v>76300</v>
      </c>
      <c r="E411" t="s">
        <v>8</v>
      </c>
      <c r="F411" t="s">
        <v>9</v>
      </c>
    </row>
    <row r="412" spans="1:6" x14ac:dyDescent="0.25">
      <c r="A412">
        <v>411</v>
      </c>
      <c r="B412" t="s">
        <v>14</v>
      </c>
      <c r="C412" t="s">
        <v>474</v>
      </c>
      <c r="D412">
        <v>40200</v>
      </c>
      <c r="E412" t="s">
        <v>38</v>
      </c>
      <c r="F412" t="s">
        <v>9</v>
      </c>
    </row>
    <row r="413" spans="1:6" x14ac:dyDescent="0.25">
      <c r="A413">
        <v>412</v>
      </c>
      <c r="B413" t="s">
        <v>201</v>
      </c>
      <c r="C413" t="s">
        <v>475</v>
      </c>
      <c r="D413">
        <v>14100</v>
      </c>
      <c r="E413" t="s">
        <v>23</v>
      </c>
      <c r="F413" t="s">
        <v>9</v>
      </c>
    </row>
    <row r="414" spans="1:6" x14ac:dyDescent="0.25">
      <c r="A414">
        <v>413</v>
      </c>
      <c r="B414" t="s">
        <v>289</v>
      </c>
      <c r="C414" t="s">
        <v>409</v>
      </c>
      <c r="D414">
        <v>89100</v>
      </c>
      <c r="E414" t="s">
        <v>8</v>
      </c>
      <c r="F414" t="s">
        <v>20</v>
      </c>
    </row>
    <row r="415" spans="1:6" x14ac:dyDescent="0.25">
      <c r="A415">
        <v>414</v>
      </c>
      <c r="B415" t="s">
        <v>347</v>
      </c>
      <c r="C415" t="s">
        <v>476</v>
      </c>
      <c r="D415">
        <v>6000</v>
      </c>
      <c r="E415" t="s">
        <v>38</v>
      </c>
      <c r="F415" t="s">
        <v>20</v>
      </c>
    </row>
    <row r="416" spans="1:6" x14ac:dyDescent="0.25">
      <c r="A416">
        <v>415</v>
      </c>
      <c r="B416" t="s">
        <v>257</v>
      </c>
      <c r="C416" t="s">
        <v>477</v>
      </c>
      <c r="D416">
        <v>54600</v>
      </c>
      <c r="E416" t="s">
        <v>38</v>
      </c>
      <c r="F416" t="s">
        <v>9</v>
      </c>
    </row>
    <row r="417" spans="1:6" x14ac:dyDescent="0.25">
      <c r="A417">
        <v>416</v>
      </c>
      <c r="B417" t="s">
        <v>331</v>
      </c>
      <c r="C417" t="s">
        <v>478</v>
      </c>
      <c r="D417">
        <v>13300</v>
      </c>
      <c r="E417" t="s">
        <v>8</v>
      </c>
      <c r="F417" t="s">
        <v>20</v>
      </c>
    </row>
    <row r="418" spans="1:6" x14ac:dyDescent="0.25">
      <c r="A418">
        <v>417</v>
      </c>
      <c r="B418" t="s">
        <v>364</v>
      </c>
      <c r="C418" t="s">
        <v>479</v>
      </c>
      <c r="D418">
        <v>52200</v>
      </c>
      <c r="E418" t="s">
        <v>23</v>
      </c>
      <c r="F418" t="s">
        <v>9</v>
      </c>
    </row>
    <row r="419" spans="1:6" x14ac:dyDescent="0.25">
      <c r="A419">
        <v>418</v>
      </c>
      <c r="B419" t="s">
        <v>179</v>
      </c>
      <c r="C419" t="s">
        <v>480</v>
      </c>
      <c r="D419">
        <v>20600</v>
      </c>
      <c r="E419" t="s">
        <v>23</v>
      </c>
      <c r="F419" t="s">
        <v>9</v>
      </c>
    </row>
    <row r="420" spans="1:6" x14ac:dyDescent="0.25">
      <c r="A420">
        <v>419</v>
      </c>
      <c r="B420" t="s">
        <v>178</v>
      </c>
      <c r="C420" t="s">
        <v>481</v>
      </c>
      <c r="D420">
        <v>19300</v>
      </c>
      <c r="E420" t="s">
        <v>8</v>
      </c>
      <c r="F420" t="s">
        <v>9</v>
      </c>
    </row>
    <row r="421" spans="1:6" x14ac:dyDescent="0.25">
      <c r="A421">
        <v>420</v>
      </c>
      <c r="B421" t="s">
        <v>331</v>
      </c>
      <c r="C421" t="s">
        <v>482</v>
      </c>
      <c r="D421">
        <v>23300</v>
      </c>
      <c r="E421" t="s">
        <v>8</v>
      </c>
      <c r="F421" t="s">
        <v>9</v>
      </c>
    </row>
    <row r="422" spans="1:6" x14ac:dyDescent="0.25">
      <c r="A422">
        <v>421</v>
      </c>
      <c r="B422" t="s">
        <v>124</v>
      </c>
      <c r="C422" t="s">
        <v>472</v>
      </c>
      <c r="D422">
        <v>116100</v>
      </c>
      <c r="E422" t="s">
        <v>23</v>
      </c>
      <c r="F422" t="s">
        <v>20</v>
      </c>
    </row>
    <row r="423" spans="1:6" x14ac:dyDescent="0.25">
      <c r="A423">
        <v>422</v>
      </c>
      <c r="B423" t="s">
        <v>247</v>
      </c>
      <c r="C423" t="s">
        <v>473</v>
      </c>
      <c r="D423">
        <v>54100</v>
      </c>
      <c r="E423" t="s">
        <v>8</v>
      </c>
      <c r="F423" t="s">
        <v>9</v>
      </c>
    </row>
    <row r="424" spans="1:6" x14ac:dyDescent="0.25">
      <c r="A424">
        <v>423</v>
      </c>
      <c r="B424" t="s">
        <v>92</v>
      </c>
      <c r="C424" t="s">
        <v>474</v>
      </c>
      <c r="D424">
        <v>15700</v>
      </c>
      <c r="E424" t="s">
        <v>8</v>
      </c>
      <c r="F424" t="s">
        <v>9</v>
      </c>
    </row>
    <row r="425" spans="1:6" x14ac:dyDescent="0.25">
      <c r="A425">
        <v>424</v>
      </c>
      <c r="B425" t="s">
        <v>143</v>
      </c>
      <c r="C425" t="s">
        <v>475</v>
      </c>
      <c r="D425">
        <v>22000</v>
      </c>
      <c r="E425" t="s">
        <v>38</v>
      </c>
      <c r="F425" t="s">
        <v>20</v>
      </c>
    </row>
    <row r="426" spans="1:6" x14ac:dyDescent="0.25">
      <c r="A426">
        <v>425</v>
      </c>
      <c r="B426" t="s">
        <v>233</v>
      </c>
      <c r="C426" t="s">
        <v>409</v>
      </c>
      <c r="D426">
        <v>384400</v>
      </c>
      <c r="E426" t="s">
        <v>38</v>
      </c>
      <c r="F426" t="s">
        <v>9</v>
      </c>
    </row>
    <row r="427" spans="1:6" x14ac:dyDescent="0.25">
      <c r="A427">
        <v>426</v>
      </c>
      <c r="B427" t="s">
        <v>153</v>
      </c>
      <c r="C427" t="s">
        <v>476</v>
      </c>
      <c r="D427">
        <v>27300</v>
      </c>
      <c r="E427" t="s">
        <v>8</v>
      </c>
      <c r="F427" t="s">
        <v>9</v>
      </c>
    </row>
    <row r="428" spans="1:6" x14ac:dyDescent="0.25">
      <c r="A428">
        <v>427</v>
      </c>
      <c r="B428" t="s">
        <v>62</v>
      </c>
      <c r="C428" t="s">
        <v>477</v>
      </c>
      <c r="D428">
        <v>26400</v>
      </c>
      <c r="E428" t="s">
        <v>8</v>
      </c>
      <c r="F428" t="s">
        <v>9</v>
      </c>
    </row>
    <row r="429" spans="1:6" x14ac:dyDescent="0.25">
      <c r="A429">
        <v>428</v>
      </c>
      <c r="B429" t="s">
        <v>316</v>
      </c>
      <c r="C429" t="s">
        <v>478</v>
      </c>
      <c r="D429">
        <v>27500</v>
      </c>
      <c r="E429" t="s">
        <v>8</v>
      </c>
      <c r="F429" t="s">
        <v>9</v>
      </c>
    </row>
    <row r="430" spans="1:6" x14ac:dyDescent="0.25">
      <c r="A430">
        <v>429</v>
      </c>
      <c r="B430" t="s">
        <v>228</v>
      </c>
      <c r="C430" t="s">
        <v>479</v>
      </c>
      <c r="D430">
        <v>21900</v>
      </c>
      <c r="E430" t="s">
        <v>23</v>
      </c>
      <c r="F430" t="s">
        <v>9</v>
      </c>
    </row>
    <row r="431" spans="1:6" x14ac:dyDescent="0.25">
      <c r="A431">
        <v>430</v>
      </c>
      <c r="B431" t="s">
        <v>143</v>
      </c>
      <c r="C431" t="s">
        <v>480</v>
      </c>
      <c r="D431">
        <v>21400</v>
      </c>
      <c r="E431" t="s">
        <v>23</v>
      </c>
      <c r="F431" t="s">
        <v>9</v>
      </c>
    </row>
    <row r="432" spans="1:6" x14ac:dyDescent="0.25">
      <c r="A432">
        <v>431</v>
      </c>
      <c r="B432" t="s">
        <v>404</v>
      </c>
      <c r="C432" t="s">
        <v>481</v>
      </c>
      <c r="D432">
        <v>206200</v>
      </c>
      <c r="E432" t="s">
        <v>38</v>
      </c>
      <c r="F432" t="s">
        <v>9</v>
      </c>
    </row>
    <row r="433" spans="1:6" x14ac:dyDescent="0.25">
      <c r="A433">
        <v>432</v>
      </c>
      <c r="B433" t="s">
        <v>132</v>
      </c>
      <c r="C433" t="s">
        <v>482</v>
      </c>
      <c r="D433">
        <v>79600</v>
      </c>
      <c r="E433" t="s">
        <v>8</v>
      </c>
      <c r="F433" t="s">
        <v>9</v>
      </c>
    </row>
    <row r="434" spans="1:6" x14ac:dyDescent="0.25">
      <c r="A434">
        <v>433</v>
      </c>
      <c r="B434" t="s">
        <v>313</v>
      </c>
      <c r="C434" t="s">
        <v>472</v>
      </c>
      <c r="D434">
        <v>80500</v>
      </c>
      <c r="E434" t="s">
        <v>8</v>
      </c>
      <c r="F434" t="s">
        <v>9</v>
      </c>
    </row>
    <row r="435" spans="1:6" x14ac:dyDescent="0.25">
      <c r="A435">
        <v>434</v>
      </c>
      <c r="B435" t="s">
        <v>309</v>
      </c>
      <c r="C435" t="s">
        <v>473</v>
      </c>
      <c r="D435">
        <v>190100</v>
      </c>
      <c r="E435" t="s">
        <v>8</v>
      </c>
      <c r="F435" t="s">
        <v>9</v>
      </c>
    </row>
    <row r="436" spans="1:6" x14ac:dyDescent="0.25">
      <c r="A436">
        <v>435</v>
      </c>
      <c r="B436" t="s">
        <v>226</v>
      </c>
      <c r="C436" t="s">
        <v>474</v>
      </c>
      <c r="D436">
        <v>20900</v>
      </c>
      <c r="E436" t="s">
        <v>23</v>
      </c>
      <c r="F436" t="s">
        <v>9</v>
      </c>
    </row>
    <row r="437" spans="1:6" x14ac:dyDescent="0.25">
      <c r="A437">
        <v>436</v>
      </c>
      <c r="B437" t="s">
        <v>282</v>
      </c>
      <c r="C437" t="s">
        <v>475</v>
      </c>
      <c r="D437">
        <v>21500</v>
      </c>
      <c r="E437" t="s">
        <v>8</v>
      </c>
      <c r="F437" t="s">
        <v>9</v>
      </c>
    </row>
    <row r="438" spans="1:6" x14ac:dyDescent="0.25">
      <c r="A438">
        <v>437</v>
      </c>
      <c r="B438" t="s">
        <v>329</v>
      </c>
      <c r="C438" t="s">
        <v>409</v>
      </c>
      <c r="D438">
        <v>83400</v>
      </c>
      <c r="E438" t="s">
        <v>8</v>
      </c>
      <c r="F438" t="s">
        <v>9</v>
      </c>
    </row>
    <row r="439" spans="1:6" x14ac:dyDescent="0.25">
      <c r="A439">
        <v>438</v>
      </c>
      <c r="B439" t="s">
        <v>87</v>
      </c>
      <c r="C439" t="s">
        <v>476</v>
      </c>
      <c r="D439">
        <v>38800</v>
      </c>
      <c r="E439" t="s">
        <v>8</v>
      </c>
      <c r="F439" t="s">
        <v>9</v>
      </c>
    </row>
    <row r="440" spans="1:6" x14ac:dyDescent="0.25">
      <c r="A440">
        <v>439</v>
      </c>
      <c r="B440" t="s">
        <v>114</v>
      </c>
      <c r="C440" t="s">
        <v>477</v>
      </c>
      <c r="D440">
        <v>9600</v>
      </c>
      <c r="E440" t="s">
        <v>8</v>
      </c>
      <c r="F440" t="s">
        <v>20</v>
      </c>
    </row>
    <row r="441" spans="1:6" x14ac:dyDescent="0.25">
      <c r="A441">
        <v>440</v>
      </c>
      <c r="B441" t="s">
        <v>113</v>
      </c>
      <c r="C441" t="s">
        <v>478</v>
      </c>
      <c r="D441">
        <v>122500</v>
      </c>
      <c r="E441" t="s">
        <v>38</v>
      </c>
      <c r="F441" t="s">
        <v>9</v>
      </c>
    </row>
    <row r="442" spans="1:6" x14ac:dyDescent="0.25">
      <c r="A442">
        <v>441</v>
      </c>
      <c r="B442" t="s">
        <v>319</v>
      </c>
      <c r="C442" t="s">
        <v>479</v>
      </c>
      <c r="D442">
        <v>26600</v>
      </c>
      <c r="E442" t="s">
        <v>8</v>
      </c>
      <c r="F442" t="s">
        <v>20</v>
      </c>
    </row>
    <row r="443" spans="1:6" x14ac:dyDescent="0.25">
      <c r="A443">
        <v>442</v>
      </c>
      <c r="B443" t="s">
        <v>209</v>
      </c>
      <c r="C443" t="s">
        <v>480</v>
      </c>
      <c r="D443">
        <v>115100</v>
      </c>
      <c r="E443" t="s">
        <v>8</v>
      </c>
      <c r="F443" t="s">
        <v>9</v>
      </c>
    </row>
    <row r="444" spans="1:6" x14ac:dyDescent="0.25">
      <c r="A444">
        <v>443</v>
      </c>
      <c r="B444" t="s">
        <v>222</v>
      </c>
      <c r="C444" t="s">
        <v>481</v>
      </c>
      <c r="D444">
        <v>13600</v>
      </c>
      <c r="E444" t="s">
        <v>23</v>
      </c>
      <c r="F444" t="s">
        <v>9</v>
      </c>
    </row>
    <row r="445" spans="1:6" x14ac:dyDescent="0.25">
      <c r="A445">
        <v>444</v>
      </c>
      <c r="B445" t="s">
        <v>220</v>
      </c>
      <c r="C445" t="s">
        <v>482</v>
      </c>
      <c r="D445">
        <v>58600</v>
      </c>
      <c r="E445" t="s">
        <v>8</v>
      </c>
      <c r="F445" t="s">
        <v>9</v>
      </c>
    </row>
    <row r="446" spans="1:6" x14ac:dyDescent="0.25">
      <c r="A446">
        <v>445</v>
      </c>
      <c r="B446" t="s">
        <v>171</v>
      </c>
      <c r="C446" t="s">
        <v>472</v>
      </c>
      <c r="D446">
        <v>14800</v>
      </c>
      <c r="E446" t="s">
        <v>8</v>
      </c>
      <c r="F446" t="s">
        <v>20</v>
      </c>
    </row>
    <row r="447" spans="1:6" x14ac:dyDescent="0.25">
      <c r="A447">
        <v>446</v>
      </c>
      <c r="B447" t="s">
        <v>307</v>
      </c>
      <c r="C447" t="s">
        <v>473</v>
      </c>
      <c r="D447">
        <v>12200</v>
      </c>
      <c r="E447" t="s">
        <v>8</v>
      </c>
      <c r="F447" t="s">
        <v>9</v>
      </c>
    </row>
    <row r="448" spans="1:6" x14ac:dyDescent="0.25">
      <c r="A448">
        <v>447</v>
      </c>
      <c r="B448" t="s">
        <v>102</v>
      </c>
      <c r="C448" t="s">
        <v>474</v>
      </c>
      <c r="D448">
        <v>130700</v>
      </c>
      <c r="E448" t="s">
        <v>8</v>
      </c>
      <c r="F448" t="s">
        <v>9</v>
      </c>
    </row>
    <row r="449" spans="1:6" x14ac:dyDescent="0.25">
      <c r="A449">
        <v>448</v>
      </c>
      <c r="B449" t="s">
        <v>49</v>
      </c>
      <c r="C449" t="s">
        <v>475</v>
      </c>
      <c r="D449">
        <v>18900</v>
      </c>
      <c r="E449" t="s">
        <v>8</v>
      </c>
      <c r="F449" t="s">
        <v>9</v>
      </c>
    </row>
    <row r="450" spans="1:6" x14ac:dyDescent="0.25">
      <c r="A450">
        <v>449</v>
      </c>
      <c r="B450" t="s">
        <v>387</v>
      </c>
      <c r="C450" t="s">
        <v>409</v>
      </c>
      <c r="D450">
        <v>117200</v>
      </c>
      <c r="E450" t="s">
        <v>8</v>
      </c>
      <c r="F450" t="s">
        <v>9</v>
      </c>
    </row>
    <row r="451" spans="1:6" x14ac:dyDescent="0.25">
      <c r="A451">
        <v>450</v>
      </c>
      <c r="B451" t="s">
        <v>359</v>
      </c>
      <c r="C451" t="s">
        <v>476</v>
      </c>
      <c r="D451">
        <v>95200</v>
      </c>
      <c r="E451" t="s">
        <v>23</v>
      </c>
      <c r="F451" t="s">
        <v>9</v>
      </c>
    </row>
    <row r="452" spans="1:6" x14ac:dyDescent="0.25">
      <c r="A452">
        <v>451</v>
      </c>
      <c r="B452" t="s">
        <v>39</v>
      </c>
      <c r="C452" t="s">
        <v>477</v>
      </c>
      <c r="D452">
        <v>18700</v>
      </c>
      <c r="E452" t="s">
        <v>8</v>
      </c>
      <c r="F452" t="s">
        <v>20</v>
      </c>
    </row>
    <row r="453" spans="1:6" x14ac:dyDescent="0.25">
      <c r="A453">
        <v>452</v>
      </c>
      <c r="B453" t="s">
        <v>292</v>
      </c>
      <c r="C453" t="s">
        <v>478</v>
      </c>
      <c r="D453">
        <v>42800</v>
      </c>
      <c r="E453" t="s">
        <v>8</v>
      </c>
      <c r="F453" t="s">
        <v>9</v>
      </c>
    </row>
    <row r="454" spans="1:6" x14ac:dyDescent="0.25">
      <c r="A454">
        <v>453</v>
      </c>
      <c r="B454" t="s">
        <v>107</v>
      </c>
      <c r="C454" t="s">
        <v>479</v>
      </c>
      <c r="D454">
        <v>66700</v>
      </c>
      <c r="E454" t="s">
        <v>8</v>
      </c>
      <c r="F454" t="s">
        <v>20</v>
      </c>
    </row>
    <row r="455" spans="1:6" x14ac:dyDescent="0.25">
      <c r="A455">
        <v>454</v>
      </c>
      <c r="B455" t="s">
        <v>225</v>
      </c>
      <c r="C455" t="s">
        <v>480</v>
      </c>
      <c r="D455">
        <v>36000</v>
      </c>
      <c r="E455" t="s">
        <v>8</v>
      </c>
      <c r="F455" t="s">
        <v>9</v>
      </c>
    </row>
    <row r="456" spans="1:6" x14ac:dyDescent="0.25">
      <c r="A456">
        <v>455</v>
      </c>
      <c r="B456" t="s">
        <v>394</v>
      </c>
      <c r="C456" t="s">
        <v>481</v>
      </c>
      <c r="D456">
        <v>43100</v>
      </c>
      <c r="E456" t="s">
        <v>8</v>
      </c>
      <c r="F456" t="s">
        <v>9</v>
      </c>
    </row>
    <row r="457" spans="1:6" x14ac:dyDescent="0.25">
      <c r="A457">
        <v>456</v>
      </c>
      <c r="B457" t="s">
        <v>96</v>
      </c>
      <c r="C457" t="s">
        <v>482</v>
      </c>
      <c r="D457">
        <v>44800</v>
      </c>
      <c r="E457" t="s">
        <v>38</v>
      </c>
      <c r="F457" t="s">
        <v>9</v>
      </c>
    </row>
    <row r="458" spans="1:6" x14ac:dyDescent="0.25">
      <c r="A458">
        <v>457</v>
      </c>
      <c r="B458" t="s">
        <v>289</v>
      </c>
      <c r="C458" t="s">
        <v>472</v>
      </c>
      <c r="D458">
        <v>47700</v>
      </c>
      <c r="E458" t="s">
        <v>23</v>
      </c>
      <c r="F458" t="s">
        <v>9</v>
      </c>
    </row>
    <row r="459" spans="1:6" x14ac:dyDescent="0.25">
      <c r="A459">
        <v>458</v>
      </c>
      <c r="B459" t="s">
        <v>76</v>
      </c>
      <c r="C459" t="s">
        <v>473</v>
      </c>
      <c r="D459">
        <v>54600</v>
      </c>
      <c r="E459" t="s">
        <v>8</v>
      </c>
      <c r="F459" t="s">
        <v>9</v>
      </c>
    </row>
    <row r="460" spans="1:6" x14ac:dyDescent="0.25">
      <c r="A460">
        <v>459</v>
      </c>
      <c r="B460" t="s">
        <v>178</v>
      </c>
      <c r="C460" t="s">
        <v>474</v>
      </c>
      <c r="D460">
        <v>18700</v>
      </c>
      <c r="E460" t="s">
        <v>23</v>
      </c>
      <c r="F460" t="s">
        <v>20</v>
      </c>
    </row>
    <row r="461" spans="1:6" x14ac:dyDescent="0.25">
      <c r="A461">
        <v>460</v>
      </c>
      <c r="B461" t="s">
        <v>187</v>
      </c>
      <c r="C461" t="s">
        <v>475</v>
      </c>
      <c r="D461">
        <v>120100</v>
      </c>
      <c r="E461" t="s">
        <v>8</v>
      </c>
      <c r="F461" t="s">
        <v>20</v>
      </c>
    </row>
    <row r="462" spans="1:6" x14ac:dyDescent="0.25">
      <c r="A462">
        <v>461</v>
      </c>
      <c r="B462" t="s">
        <v>285</v>
      </c>
      <c r="C462" t="s">
        <v>409</v>
      </c>
      <c r="D462">
        <v>410000</v>
      </c>
      <c r="E462" t="s">
        <v>38</v>
      </c>
      <c r="F462" t="s">
        <v>9</v>
      </c>
    </row>
    <row r="463" spans="1:6" x14ac:dyDescent="0.25">
      <c r="A463">
        <v>462</v>
      </c>
      <c r="B463" t="s">
        <v>41</v>
      </c>
      <c r="C463" t="s">
        <v>476</v>
      </c>
      <c r="D463">
        <v>65000</v>
      </c>
      <c r="E463" t="s">
        <v>8</v>
      </c>
      <c r="F463" t="s">
        <v>9</v>
      </c>
    </row>
    <row r="464" spans="1:6" x14ac:dyDescent="0.25">
      <c r="A464">
        <v>463</v>
      </c>
      <c r="B464" t="s">
        <v>86</v>
      </c>
      <c r="C464" t="s">
        <v>477</v>
      </c>
      <c r="D464">
        <v>43500</v>
      </c>
      <c r="E464" t="s">
        <v>8</v>
      </c>
      <c r="F464" t="s">
        <v>9</v>
      </c>
    </row>
    <row r="465" spans="1:6" x14ac:dyDescent="0.25">
      <c r="A465">
        <v>464</v>
      </c>
      <c r="B465" t="s">
        <v>358</v>
      </c>
      <c r="C465" t="s">
        <v>478</v>
      </c>
      <c r="D465">
        <v>19500</v>
      </c>
      <c r="E465" t="s">
        <v>8</v>
      </c>
      <c r="F465" t="s">
        <v>9</v>
      </c>
    </row>
    <row r="466" spans="1:6" x14ac:dyDescent="0.25">
      <c r="A466">
        <v>465</v>
      </c>
      <c r="B466" t="s">
        <v>394</v>
      </c>
      <c r="C466" t="s">
        <v>479</v>
      </c>
      <c r="D466">
        <v>8700</v>
      </c>
      <c r="E466" t="s">
        <v>23</v>
      </c>
      <c r="F466" t="s">
        <v>20</v>
      </c>
    </row>
    <row r="467" spans="1:6" x14ac:dyDescent="0.25">
      <c r="A467">
        <v>466</v>
      </c>
      <c r="B467" t="s">
        <v>146</v>
      </c>
      <c r="C467" t="s">
        <v>480</v>
      </c>
      <c r="D467">
        <v>52000</v>
      </c>
      <c r="E467" t="s">
        <v>8</v>
      </c>
      <c r="F467" t="s">
        <v>9</v>
      </c>
    </row>
    <row r="468" spans="1:6" x14ac:dyDescent="0.25">
      <c r="A468">
        <v>467</v>
      </c>
      <c r="B468" t="s">
        <v>109</v>
      </c>
      <c r="C468" t="s">
        <v>481</v>
      </c>
      <c r="D468">
        <v>16000</v>
      </c>
      <c r="E468" t="s">
        <v>8</v>
      </c>
      <c r="F468" t="s">
        <v>9</v>
      </c>
    </row>
    <row r="469" spans="1:6" x14ac:dyDescent="0.25">
      <c r="A469">
        <v>468</v>
      </c>
      <c r="B469" t="s">
        <v>145</v>
      </c>
      <c r="C469" t="s">
        <v>482</v>
      </c>
      <c r="D469">
        <v>19400</v>
      </c>
      <c r="E469" t="s">
        <v>8</v>
      </c>
      <c r="F469" t="s">
        <v>20</v>
      </c>
    </row>
    <row r="470" spans="1:6" x14ac:dyDescent="0.25">
      <c r="A470">
        <v>469</v>
      </c>
      <c r="B470" t="s">
        <v>209</v>
      </c>
      <c r="C470" t="s">
        <v>472</v>
      </c>
      <c r="D470">
        <v>8600</v>
      </c>
      <c r="E470" t="s">
        <v>8</v>
      </c>
      <c r="F470" t="s">
        <v>9</v>
      </c>
    </row>
    <row r="471" spans="1:6" x14ac:dyDescent="0.25">
      <c r="A471">
        <v>470</v>
      </c>
      <c r="B471" t="s">
        <v>162</v>
      </c>
      <c r="C471" t="s">
        <v>473</v>
      </c>
      <c r="D471">
        <v>94000</v>
      </c>
      <c r="E471" t="s">
        <v>8</v>
      </c>
      <c r="F471" t="s">
        <v>9</v>
      </c>
    </row>
    <row r="472" spans="1:6" x14ac:dyDescent="0.25">
      <c r="A472">
        <v>471</v>
      </c>
      <c r="B472" t="s">
        <v>368</v>
      </c>
      <c r="C472" t="s">
        <v>474</v>
      </c>
      <c r="D472">
        <v>17400</v>
      </c>
      <c r="E472" t="s">
        <v>8</v>
      </c>
      <c r="F472" t="s">
        <v>9</v>
      </c>
    </row>
    <row r="473" spans="1:6" x14ac:dyDescent="0.25">
      <c r="A473">
        <v>472</v>
      </c>
      <c r="B473" t="s">
        <v>404</v>
      </c>
      <c r="C473" t="s">
        <v>475</v>
      </c>
      <c r="D473">
        <v>62000</v>
      </c>
      <c r="E473" t="s">
        <v>8</v>
      </c>
      <c r="F473" t="s">
        <v>9</v>
      </c>
    </row>
    <row r="474" spans="1:6" x14ac:dyDescent="0.25">
      <c r="A474">
        <v>473</v>
      </c>
      <c r="B474" t="s">
        <v>369</v>
      </c>
      <c r="C474" t="s">
        <v>409</v>
      </c>
      <c r="D474">
        <v>202700</v>
      </c>
      <c r="E474" t="s">
        <v>8</v>
      </c>
      <c r="F474" t="s">
        <v>20</v>
      </c>
    </row>
    <row r="475" spans="1:6" x14ac:dyDescent="0.25">
      <c r="A475">
        <v>474</v>
      </c>
      <c r="B475" t="s">
        <v>221</v>
      </c>
      <c r="C475" t="s">
        <v>476</v>
      </c>
      <c r="D475">
        <v>31500</v>
      </c>
      <c r="E475" t="s">
        <v>38</v>
      </c>
      <c r="F475" t="s">
        <v>9</v>
      </c>
    </row>
    <row r="476" spans="1:6" x14ac:dyDescent="0.25">
      <c r="A476">
        <v>475</v>
      </c>
      <c r="B476" t="s">
        <v>399</v>
      </c>
      <c r="C476" t="s">
        <v>477</v>
      </c>
      <c r="D476">
        <v>26000</v>
      </c>
      <c r="E476" t="s">
        <v>8</v>
      </c>
      <c r="F476" t="s">
        <v>20</v>
      </c>
    </row>
    <row r="477" spans="1:6" x14ac:dyDescent="0.25">
      <c r="A477">
        <v>476</v>
      </c>
      <c r="B477" t="s">
        <v>306</v>
      </c>
      <c r="C477" t="s">
        <v>478</v>
      </c>
      <c r="D477">
        <v>76300</v>
      </c>
      <c r="E477" t="s">
        <v>8</v>
      </c>
      <c r="F477" t="s">
        <v>9</v>
      </c>
    </row>
    <row r="478" spans="1:6" x14ac:dyDescent="0.25">
      <c r="A478">
        <v>477</v>
      </c>
      <c r="B478" t="s">
        <v>100</v>
      </c>
      <c r="C478" t="s">
        <v>479</v>
      </c>
      <c r="D478">
        <v>61900</v>
      </c>
      <c r="E478" t="s">
        <v>8</v>
      </c>
      <c r="F478" t="s">
        <v>9</v>
      </c>
    </row>
    <row r="479" spans="1:6" x14ac:dyDescent="0.25">
      <c r="A479">
        <v>478</v>
      </c>
      <c r="B479" t="s">
        <v>107</v>
      </c>
      <c r="C479" t="s">
        <v>480</v>
      </c>
      <c r="D479">
        <v>49700</v>
      </c>
      <c r="E479" t="s">
        <v>8</v>
      </c>
      <c r="F479" t="s">
        <v>9</v>
      </c>
    </row>
    <row r="480" spans="1:6" x14ac:dyDescent="0.25">
      <c r="A480">
        <v>479</v>
      </c>
      <c r="B480" t="s">
        <v>289</v>
      </c>
      <c r="C480" t="s">
        <v>481</v>
      </c>
      <c r="D480">
        <v>146300</v>
      </c>
      <c r="E480" t="s">
        <v>23</v>
      </c>
      <c r="F480" t="s">
        <v>9</v>
      </c>
    </row>
    <row r="481" spans="1:6" x14ac:dyDescent="0.25">
      <c r="A481">
        <v>480</v>
      </c>
      <c r="B481" t="s">
        <v>226</v>
      </c>
      <c r="C481" t="s">
        <v>482</v>
      </c>
      <c r="D481">
        <v>37800</v>
      </c>
      <c r="E481" t="s">
        <v>8</v>
      </c>
      <c r="F481" t="s">
        <v>9</v>
      </c>
    </row>
    <row r="482" spans="1:6" x14ac:dyDescent="0.25">
      <c r="A482">
        <v>481</v>
      </c>
      <c r="B482" t="s">
        <v>392</v>
      </c>
      <c r="C482" t="s">
        <v>472</v>
      </c>
      <c r="D482">
        <v>10100</v>
      </c>
      <c r="E482" t="s">
        <v>8</v>
      </c>
      <c r="F482" t="s">
        <v>9</v>
      </c>
    </row>
    <row r="483" spans="1:6" x14ac:dyDescent="0.25">
      <c r="A483">
        <v>482</v>
      </c>
      <c r="B483" t="s">
        <v>365</v>
      </c>
      <c r="C483" t="s">
        <v>473</v>
      </c>
      <c r="D483">
        <v>56100</v>
      </c>
      <c r="E483" t="s">
        <v>8</v>
      </c>
      <c r="F483" t="s">
        <v>20</v>
      </c>
    </row>
    <row r="484" spans="1:6" x14ac:dyDescent="0.25">
      <c r="A484">
        <v>483</v>
      </c>
      <c r="B484" t="s">
        <v>225</v>
      </c>
      <c r="C484" t="s">
        <v>474</v>
      </c>
      <c r="D484">
        <v>102100</v>
      </c>
      <c r="E484" t="s">
        <v>23</v>
      </c>
      <c r="F484" t="s">
        <v>20</v>
      </c>
    </row>
    <row r="485" spans="1:6" x14ac:dyDescent="0.25">
      <c r="A485">
        <v>484</v>
      </c>
      <c r="B485" t="s">
        <v>32</v>
      </c>
      <c r="C485" t="s">
        <v>475</v>
      </c>
      <c r="D485">
        <v>33800</v>
      </c>
      <c r="E485" t="s">
        <v>23</v>
      </c>
      <c r="F485" t="s">
        <v>9</v>
      </c>
    </row>
    <row r="486" spans="1:6" x14ac:dyDescent="0.25">
      <c r="A486">
        <v>485</v>
      </c>
      <c r="B486" t="s">
        <v>204</v>
      </c>
      <c r="C486" t="s">
        <v>409</v>
      </c>
      <c r="D486">
        <v>11600</v>
      </c>
      <c r="E486" t="s">
        <v>8</v>
      </c>
      <c r="F486" t="s">
        <v>20</v>
      </c>
    </row>
    <row r="487" spans="1:6" x14ac:dyDescent="0.25">
      <c r="A487">
        <v>486</v>
      </c>
      <c r="B487" t="s">
        <v>273</v>
      </c>
      <c r="C487" t="s">
        <v>476</v>
      </c>
      <c r="D487">
        <v>182900</v>
      </c>
      <c r="E487" t="s">
        <v>8</v>
      </c>
      <c r="F487" t="s">
        <v>9</v>
      </c>
    </row>
    <row r="488" spans="1:6" x14ac:dyDescent="0.25">
      <c r="A488">
        <v>487</v>
      </c>
      <c r="B488" t="s">
        <v>341</v>
      </c>
      <c r="C488" t="s">
        <v>477</v>
      </c>
      <c r="D488">
        <v>29000</v>
      </c>
      <c r="E488" t="s">
        <v>23</v>
      </c>
      <c r="F488" t="s">
        <v>9</v>
      </c>
    </row>
    <row r="489" spans="1:6" x14ac:dyDescent="0.25">
      <c r="A489">
        <v>488</v>
      </c>
      <c r="B489" t="s">
        <v>266</v>
      </c>
      <c r="C489" t="s">
        <v>478</v>
      </c>
      <c r="D489">
        <v>17500</v>
      </c>
      <c r="E489" t="s">
        <v>8</v>
      </c>
      <c r="F489" t="s">
        <v>9</v>
      </c>
    </row>
    <row r="490" spans="1:6" x14ac:dyDescent="0.25">
      <c r="A490">
        <v>489</v>
      </c>
      <c r="B490" t="s">
        <v>287</v>
      </c>
      <c r="C490" t="s">
        <v>479</v>
      </c>
      <c r="D490">
        <v>57500</v>
      </c>
      <c r="E490" t="s">
        <v>23</v>
      </c>
      <c r="F490" t="s">
        <v>20</v>
      </c>
    </row>
    <row r="491" spans="1:6" x14ac:dyDescent="0.25">
      <c r="A491">
        <v>490</v>
      </c>
      <c r="B491" t="s">
        <v>352</v>
      </c>
      <c r="C491" t="s">
        <v>480</v>
      </c>
      <c r="D491">
        <v>90400</v>
      </c>
      <c r="E491" t="s">
        <v>8</v>
      </c>
      <c r="F491" t="s">
        <v>9</v>
      </c>
    </row>
    <row r="492" spans="1:6" x14ac:dyDescent="0.25">
      <c r="A492">
        <v>491</v>
      </c>
      <c r="B492" t="s">
        <v>369</v>
      </c>
      <c r="C492" t="s">
        <v>481</v>
      </c>
      <c r="D492">
        <v>30700</v>
      </c>
      <c r="E492" t="s">
        <v>8</v>
      </c>
      <c r="F492" t="s">
        <v>9</v>
      </c>
    </row>
    <row r="493" spans="1:6" x14ac:dyDescent="0.25">
      <c r="A493">
        <v>492</v>
      </c>
      <c r="B493" t="s">
        <v>116</v>
      </c>
      <c r="C493" t="s">
        <v>482</v>
      </c>
      <c r="D493">
        <v>142300</v>
      </c>
      <c r="E493" t="s">
        <v>8</v>
      </c>
      <c r="F493" t="s">
        <v>9</v>
      </c>
    </row>
    <row r="494" spans="1:6" x14ac:dyDescent="0.25">
      <c r="A494">
        <v>493</v>
      </c>
      <c r="B494" t="s">
        <v>275</v>
      </c>
      <c r="C494" t="s">
        <v>472</v>
      </c>
      <c r="D494">
        <v>8100</v>
      </c>
      <c r="E494" t="s">
        <v>8</v>
      </c>
      <c r="F494" t="s">
        <v>9</v>
      </c>
    </row>
    <row r="495" spans="1:6" x14ac:dyDescent="0.25">
      <c r="A495">
        <v>494</v>
      </c>
      <c r="B495" t="s">
        <v>245</v>
      </c>
      <c r="C495" t="s">
        <v>473</v>
      </c>
      <c r="D495">
        <v>34300</v>
      </c>
      <c r="E495" t="s">
        <v>23</v>
      </c>
      <c r="F495" t="s">
        <v>9</v>
      </c>
    </row>
    <row r="496" spans="1:6" x14ac:dyDescent="0.25">
      <c r="A496">
        <v>495</v>
      </c>
      <c r="B496" t="s">
        <v>387</v>
      </c>
      <c r="C496" t="s">
        <v>474</v>
      </c>
      <c r="D496">
        <v>19400</v>
      </c>
      <c r="E496" t="s">
        <v>8</v>
      </c>
      <c r="F496" t="s">
        <v>20</v>
      </c>
    </row>
    <row r="497" spans="1:6" x14ac:dyDescent="0.25">
      <c r="A497">
        <v>496</v>
      </c>
      <c r="B497" t="s">
        <v>216</v>
      </c>
      <c r="C497" t="s">
        <v>475</v>
      </c>
      <c r="D497">
        <v>44100</v>
      </c>
      <c r="E497" t="s">
        <v>38</v>
      </c>
      <c r="F497" t="s">
        <v>9</v>
      </c>
    </row>
    <row r="498" spans="1:6" x14ac:dyDescent="0.25">
      <c r="A498">
        <v>497</v>
      </c>
      <c r="B498" t="s">
        <v>54</v>
      </c>
      <c r="C498" t="s">
        <v>409</v>
      </c>
      <c r="D498">
        <v>25400</v>
      </c>
      <c r="E498" t="s">
        <v>8</v>
      </c>
      <c r="F498" t="s">
        <v>9</v>
      </c>
    </row>
    <row r="499" spans="1:6" x14ac:dyDescent="0.25">
      <c r="A499">
        <v>498</v>
      </c>
      <c r="B499" t="s">
        <v>252</v>
      </c>
      <c r="C499" t="s">
        <v>476</v>
      </c>
      <c r="D499">
        <v>54900</v>
      </c>
      <c r="E499" t="s">
        <v>38</v>
      </c>
      <c r="F499" t="s">
        <v>20</v>
      </c>
    </row>
    <row r="500" spans="1:6" x14ac:dyDescent="0.25">
      <c r="A500">
        <v>499</v>
      </c>
      <c r="B500" t="s">
        <v>196</v>
      </c>
      <c r="C500" t="s">
        <v>477</v>
      </c>
      <c r="D500">
        <v>68000</v>
      </c>
      <c r="E500" t="s">
        <v>8</v>
      </c>
      <c r="F500" t="s">
        <v>9</v>
      </c>
    </row>
    <row r="501" spans="1:6" x14ac:dyDescent="0.25">
      <c r="A501">
        <v>500</v>
      </c>
      <c r="B501" t="s">
        <v>357</v>
      </c>
      <c r="C501" t="s">
        <v>478</v>
      </c>
      <c r="D501">
        <v>22400</v>
      </c>
      <c r="E501" t="s">
        <v>8</v>
      </c>
      <c r="F501" t="s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270</v>
      </c>
      <c r="C2" t="s">
        <v>483</v>
      </c>
      <c r="D2">
        <v>0</v>
      </c>
      <c r="E2" t="s">
        <v>38</v>
      </c>
      <c r="F2" t="s">
        <v>9</v>
      </c>
    </row>
    <row r="3" spans="1:6" x14ac:dyDescent="0.25">
      <c r="A3">
        <v>2</v>
      </c>
      <c r="B3" t="s">
        <v>189</v>
      </c>
      <c r="C3" t="s">
        <v>484</v>
      </c>
      <c r="D3">
        <v>0</v>
      </c>
      <c r="E3" t="s">
        <v>23</v>
      </c>
      <c r="F3" t="s">
        <v>9</v>
      </c>
    </row>
    <row r="4" spans="1:6" x14ac:dyDescent="0.25">
      <c r="A4">
        <v>3</v>
      </c>
      <c r="B4" t="s">
        <v>313</v>
      </c>
      <c r="C4" t="s">
        <v>485</v>
      </c>
      <c r="D4">
        <v>0</v>
      </c>
      <c r="E4" t="s">
        <v>8</v>
      </c>
      <c r="F4" t="s">
        <v>9</v>
      </c>
    </row>
    <row r="5" spans="1:6" x14ac:dyDescent="0.25">
      <c r="A5">
        <v>4</v>
      </c>
      <c r="B5" t="s">
        <v>277</v>
      </c>
      <c r="C5" t="s">
        <v>486</v>
      </c>
      <c r="D5">
        <v>5000</v>
      </c>
      <c r="E5" t="s">
        <v>8</v>
      </c>
      <c r="F5" t="s">
        <v>9</v>
      </c>
    </row>
    <row r="6" spans="1:6" x14ac:dyDescent="0.25">
      <c r="A6">
        <v>5</v>
      </c>
      <c r="B6" t="s">
        <v>242</v>
      </c>
      <c r="C6" t="s">
        <v>487</v>
      </c>
      <c r="D6">
        <v>5000</v>
      </c>
      <c r="E6" t="s">
        <v>8</v>
      </c>
      <c r="F6" t="s">
        <v>9</v>
      </c>
    </row>
    <row r="7" spans="1:6" x14ac:dyDescent="0.25">
      <c r="A7">
        <v>6</v>
      </c>
      <c r="B7" t="s">
        <v>30</v>
      </c>
      <c r="C7" t="s">
        <v>485</v>
      </c>
      <c r="D7">
        <v>5000</v>
      </c>
      <c r="E7" t="s">
        <v>23</v>
      </c>
      <c r="F7" t="s">
        <v>9</v>
      </c>
    </row>
    <row r="8" spans="1:6" x14ac:dyDescent="0.25">
      <c r="A8">
        <v>7</v>
      </c>
      <c r="B8" t="s">
        <v>217</v>
      </c>
      <c r="C8" t="s">
        <v>488</v>
      </c>
      <c r="D8">
        <v>5000</v>
      </c>
      <c r="E8" t="s">
        <v>8</v>
      </c>
      <c r="F8" t="s">
        <v>9</v>
      </c>
    </row>
    <row r="9" spans="1:6" x14ac:dyDescent="0.25">
      <c r="A9">
        <v>8</v>
      </c>
      <c r="B9" t="s">
        <v>244</v>
      </c>
      <c r="C9" t="s">
        <v>485</v>
      </c>
      <c r="D9">
        <v>5000</v>
      </c>
      <c r="E9" t="s">
        <v>38</v>
      </c>
      <c r="F9" t="s">
        <v>20</v>
      </c>
    </row>
    <row r="10" spans="1:6" x14ac:dyDescent="0.25">
      <c r="A10">
        <v>9</v>
      </c>
      <c r="B10" t="s">
        <v>287</v>
      </c>
      <c r="C10" t="s">
        <v>489</v>
      </c>
      <c r="D10">
        <v>5000</v>
      </c>
      <c r="E10" t="s">
        <v>8</v>
      </c>
      <c r="F10" t="s">
        <v>9</v>
      </c>
    </row>
    <row r="11" spans="1:6" x14ac:dyDescent="0.25">
      <c r="A11">
        <v>10</v>
      </c>
      <c r="B11" t="s">
        <v>54</v>
      </c>
      <c r="C11" t="s">
        <v>488</v>
      </c>
      <c r="D11">
        <v>5000</v>
      </c>
      <c r="E11" t="s">
        <v>8</v>
      </c>
      <c r="F11" t="s">
        <v>20</v>
      </c>
    </row>
    <row r="12" spans="1:6" x14ac:dyDescent="0.25">
      <c r="A12">
        <v>11</v>
      </c>
      <c r="B12" t="s">
        <v>245</v>
      </c>
      <c r="C12" t="s">
        <v>490</v>
      </c>
      <c r="D12">
        <v>5000</v>
      </c>
      <c r="E12" t="s">
        <v>8</v>
      </c>
      <c r="F12" t="s">
        <v>20</v>
      </c>
    </row>
    <row r="13" spans="1:6" x14ac:dyDescent="0.25">
      <c r="A13">
        <v>12</v>
      </c>
      <c r="B13" t="s">
        <v>307</v>
      </c>
      <c r="C13" t="s">
        <v>488</v>
      </c>
      <c r="D13">
        <v>5000</v>
      </c>
      <c r="E13" t="s">
        <v>8</v>
      </c>
      <c r="F13" t="s">
        <v>9</v>
      </c>
    </row>
    <row r="14" spans="1:6" x14ac:dyDescent="0.25">
      <c r="A14">
        <v>13</v>
      </c>
      <c r="B14" t="s">
        <v>110</v>
      </c>
      <c r="C14" t="s">
        <v>491</v>
      </c>
      <c r="D14">
        <v>5000</v>
      </c>
      <c r="E14" t="s">
        <v>8</v>
      </c>
      <c r="F14" t="s">
        <v>9</v>
      </c>
    </row>
    <row r="15" spans="1:6" x14ac:dyDescent="0.25">
      <c r="A15">
        <v>14</v>
      </c>
      <c r="B15" t="s">
        <v>138</v>
      </c>
      <c r="C15" t="s">
        <v>491</v>
      </c>
      <c r="D15">
        <v>5000</v>
      </c>
      <c r="E15" t="s">
        <v>8</v>
      </c>
      <c r="F15" t="s">
        <v>9</v>
      </c>
    </row>
    <row r="16" spans="1:6" x14ac:dyDescent="0.25">
      <c r="A16">
        <v>15</v>
      </c>
      <c r="B16" t="s">
        <v>77</v>
      </c>
      <c r="C16" t="s">
        <v>489</v>
      </c>
      <c r="D16">
        <v>5000</v>
      </c>
      <c r="E16" t="s">
        <v>23</v>
      </c>
      <c r="F16" t="s">
        <v>20</v>
      </c>
    </row>
    <row r="17" spans="1:6" x14ac:dyDescent="0.25">
      <c r="A17">
        <v>16</v>
      </c>
      <c r="B17" t="s">
        <v>172</v>
      </c>
      <c r="C17" t="s">
        <v>492</v>
      </c>
      <c r="D17">
        <v>5000</v>
      </c>
      <c r="E17" t="s">
        <v>8</v>
      </c>
      <c r="F17" t="s">
        <v>9</v>
      </c>
    </row>
    <row r="18" spans="1:6" x14ac:dyDescent="0.25">
      <c r="A18">
        <v>17</v>
      </c>
      <c r="B18" t="s">
        <v>208</v>
      </c>
      <c r="C18" t="s">
        <v>485</v>
      </c>
      <c r="D18">
        <v>5500</v>
      </c>
      <c r="E18" t="s">
        <v>8</v>
      </c>
      <c r="F18" t="s">
        <v>9</v>
      </c>
    </row>
    <row r="19" spans="1:6" x14ac:dyDescent="0.25">
      <c r="A19">
        <v>18</v>
      </c>
      <c r="B19" t="s">
        <v>306</v>
      </c>
      <c r="C19" t="s">
        <v>490</v>
      </c>
      <c r="D19">
        <v>6100</v>
      </c>
      <c r="E19" t="s">
        <v>23</v>
      </c>
      <c r="F19" t="s">
        <v>9</v>
      </c>
    </row>
    <row r="20" spans="1:6" x14ac:dyDescent="0.25">
      <c r="A20">
        <v>19</v>
      </c>
      <c r="B20" t="s">
        <v>369</v>
      </c>
      <c r="C20" t="s">
        <v>493</v>
      </c>
      <c r="D20">
        <v>6100</v>
      </c>
      <c r="E20" t="s">
        <v>38</v>
      </c>
      <c r="F20" t="s">
        <v>9</v>
      </c>
    </row>
    <row r="21" spans="1:6" x14ac:dyDescent="0.25">
      <c r="A21">
        <v>20</v>
      </c>
      <c r="B21" t="s">
        <v>331</v>
      </c>
      <c r="C21" t="s">
        <v>494</v>
      </c>
      <c r="D21">
        <v>6400</v>
      </c>
      <c r="E21" t="s">
        <v>8</v>
      </c>
      <c r="F21" t="s">
        <v>9</v>
      </c>
    </row>
    <row r="22" spans="1:6" x14ac:dyDescent="0.25">
      <c r="A22">
        <v>21</v>
      </c>
      <c r="B22" t="s">
        <v>114</v>
      </c>
      <c r="C22" t="s">
        <v>492</v>
      </c>
      <c r="D22">
        <v>6600</v>
      </c>
      <c r="E22" t="s">
        <v>8</v>
      </c>
      <c r="F22" t="s">
        <v>9</v>
      </c>
    </row>
    <row r="23" spans="1:6" x14ac:dyDescent="0.25">
      <c r="A23">
        <v>22</v>
      </c>
      <c r="B23" t="s">
        <v>58</v>
      </c>
      <c r="C23" t="s">
        <v>486</v>
      </c>
      <c r="D23">
        <v>6700</v>
      </c>
      <c r="E23" t="s">
        <v>38</v>
      </c>
      <c r="F23" t="s">
        <v>9</v>
      </c>
    </row>
    <row r="24" spans="1:6" x14ac:dyDescent="0.25">
      <c r="A24">
        <v>23</v>
      </c>
      <c r="B24" t="s">
        <v>118</v>
      </c>
      <c r="C24" t="s">
        <v>491</v>
      </c>
      <c r="D24">
        <v>6700</v>
      </c>
      <c r="E24" t="s">
        <v>23</v>
      </c>
      <c r="F24" t="s">
        <v>9</v>
      </c>
    </row>
    <row r="25" spans="1:6" x14ac:dyDescent="0.25">
      <c r="A25">
        <v>24</v>
      </c>
      <c r="B25" t="s">
        <v>329</v>
      </c>
      <c r="C25" t="s">
        <v>487</v>
      </c>
      <c r="D25">
        <v>6800</v>
      </c>
      <c r="E25" t="s">
        <v>8</v>
      </c>
      <c r="F25" t="s">
        <v>9</v>
      </c>
    </row>
    <row r="26" spans="1:6" x14ac:dyDescent="0.25">
      <c r="A26">
        <v>25</v>
      </c>
      <c r="B26" t="s">
        <v>72</v>
      </c>
      <c r="C26" t="s">
        <v>489</v>
      </c>
      <c r="D26">
        <v>6900</v>
      </c>
      <c r="E26" t="s">
        <v>8</v>
      </c>
      <c r="F26" t="s">
        <v>9</v>
      </c>
    </row>
    <row r="27" spans="1:6" x14ac:dyDescent="0.25">
      <c r="A27">
        <v>26</v>
      </c>
      <c r="B27" t="s">
        <v>79</v>
      </c>
      <c r="C27" t="s">
        <v>492</v>
      </c>
      <c r="D27">
        <v>6900</v>
      </c>
      <c r="E27" t="s">
        <v>8</v>
      </c>
      <c r="F27" t="s">
        <v>9</v>
      </c>
    </row>
    <row r="28" spans="1:6" x14ac:dyDescent="0.25">
      <c r="A28">
        <v>27</v>
      </c>
      <c r="B28" t="s">
        <v>399</v>
      </c>
      <c r="C28" t="s">
        <v>488</v>
      </c>
      <c r="D28">
        <v>6900</v>
      </c>
      <c r="E28" t="s">
        <v>8</v>
      </c>
      <c r="F28" t="s">
        <v>9</v>
      </c>
    </row>
    <row r="29" spans="1:6" x14ac:dyDescent="0.25">
      <c r="A29">
        <v>28</v>
      </c>
      <c r="B29" t="s">
        <v>261</v>
      </c>
      <c r="C29" t="s">
        <v>488</v>
      </c>
      <c r="D29">
        <v>7000</v>
      </c>
      <c r="E29" t="s">
        <v>8</v>
      </c>
      <c r="F29" t="s">
        <v>9</v>
      </c>
    </row>
    <row r="30" spans="1:6" x14ac:dyDescent="0.25">
      <c r="A30">
        <v>29</v>
      </c>
      <c r="B30" t="s">
        <v>231</v>
      </c>
      <c r="C30" t="s">
        <v>492</v>
      </c>
      <c r="D30">
        <v>7300</v>
      </c>
      <c r="E30" t="s">
        <v>8</v>
      </c>
      <c r="F30" t="s">
        <v>9</v>
      </c>
    </row>
    <row r="31" spans="1:6" x14ac:dyDescent="0.25">
      <c r="A31">
        <v>30</v>
      </c>
      <c r="B31" t="s">
        <v>333</v>
      </c>
      <c r="C31" t="s">
        <v>486</v>
      </c>
      <c r="D31">
        <v>7300</v>
      </c>
      <c r="E31" t="s">
        <v>8</v>
      </c>
      <c r="F31" t="s">
        <v>9</v>
      </c>
    </row>
    <row r="32" spans="1:6" x14ac:dyDescent="0.25">
      <c r="A32">
        <v>31</v>
      </c>
      <c r="B32" t="s">
        <v>395</v>
      </c>
      <c r="C32" t="s">
        <v>488</v>
      </c>
      <c r="D32">
        <v>7300</v>
      </c>
      <c r="E32" t="s">
        <v>8</v>
      </c>
      <c r="F32" t="s">
        <v>9</v>
      </c>
    </row>
    <row r="33" spans="1:6" x14ac:dyDescent="0.25">
      <c r="A33">
        <v>32</v>
      </c>
      <c r="B33" t="s">
        <v>322</v>
      </c>
      <c r="C33" t="s">
        <v>483</v>
      </c>
      <c r="D33">
        <v>7600</v>
      </c>
      <c r="E33" t="s">
        <v>8</v>
      </c>
      <c r="F33" t="s">
        <v>9</v>
      </c>
    </row>
    <row r="34" spans="1:6" x14ac:dyDescent="0.25">
      <c r="A34">
        <v>33</v>
      </c>
      <c r="B34" t="s">
        <v>394</v>
      </c>
      <c r="C34" t="s">
        <v>494</v>
      </c>
      <c r="D34">
        <v>7600</v>
      </c>
      <c r="E34" t="s">
        <v>38</v>
      </c>
      <c r="F34" t="s">
        <v>20</v>
      </c>
    </row>
    <row r="35" spans="1:6" x14ac:dyDescent="0.25">
      <c r="A35">
        <v>34</v>
      </c>
      <c r="B35" t="s">
        <v>228</v>
      </c>
      <c r="C35" t="s">
        <v>484</v>
      </c>
      <c r="D35">
        <v>7800</v>
      </c>
      <c r="E35" t="s">
        <v>23</v>
      </c>
      <c r="F35" t="s">
        <v>9</v>
      </c>
    </row>
    <row r="36" spans="1:6" x14ac:dyDescent="0.25">
      <c r="A36">
        <v>35</v>
      </c>
      <c r="B36" t="s">
        <v>390</v>
      </c>
      <c r="C36" t="s">
        <v>484</v>
      </c>
      <c r="D36">
        <v>7800</v>
      </c>
      <c r="E36" t="s">
        <v>8</v>
      </c>
      <c r="F36" t="s">
        <v>9</v>
      </c>
    </row>
    <row r="37" spans="1:6" x14ac:dyDescent="0.25">
      <c r="A37">
        <v>36</v>
      </c>
      <c r="B37" t="s">
        <v>357</v>
      </c>
      <c r="C37" t="s">
        <v>494</v>
      </c>
      <c r="D37">
        <v>8000</v>
      </c>
      <c r="E37" t="s">
        <v>8</v>
      </c>
      <c r="F37" t="s">
        <v>9</v>
      </c>
    </row>
    <row r="38" spans="1:6" x14ac:dyDescent="0.25">
      <c r="A38">
        <v>37</v>
      </c>
      <c r="B38" t="s">
        <v>243</v>
      </c>
      <c r="C38" t="s">
        <v>484</v>
      </c>
      <c r="D38">
        <v>8100</v>
      </c>
      <c r="E38" t="s">
        <v>8</v>
      </c>
      <c r="F38" t="s">
        <v>9</v>
      </c>
    </row>
    <row r="39" spans="1:6" x14ac:dyDescent="0.25">
      <c r="A39">
        <v>38</v>
      </c>
      <c r="B39" t="s">
        <v>108</v>
      </c>
      <c r="C39" t="s">
        <v>484</v>
      </c>
      <c r="D39">
        <v>8300</v>
      </c>
      <c r="E39" t="s">
        <v>8</v>
      </c>
      <c r="F39" t="s">
        <v>9</v>
      </c>
    </row>
    <row r="40" spans="1:6" x14ac:dyDescent="0.25">
      <c r="A40">
        <v>39</v>
      </c>
      <c r="B40" t="s">
        <v>395</v>
      </c>
      <c r="C40" t="s">
        <v>489</v>
      </c>
      <c r="D40">
        <v>8400</v>
      </c>
      <c r="E40" t="s">
        <v>8</v>
      </c>
      <c r="F40" t="s">
        <v>9</v>
      </c>
    </row>
    <row r="41" spans="1:6" x14ac:dyDescent="0.25">
      <c r="A41">
        <v>40</v>
      </c>
      <c r="B41" t="s">
        <v>163</v>
      </c>
      <c r="C41" t="s">
        <v>489</v>
      </c>
      <c r="D41">
        <v>8400</v>
      </c>
      <c r="E41" t="s">
        <v>8</v>
      </c>
      <c r="F41" t="s">
        <v>9</v>
      </c>
    </row>
    <row r="42" spans="1:6" x14ac:dyDescent="0.25">
      <c r="A42">
        <v>41</v>
      </c>
      <c r="B42" t="s">
        <v>12</v>
      </c>
      <c r="C42" t="s">
        <v>489</v>
      </c>
      <c r="D42">
        <v>8400</v>
      </c>
      <c r="E42" t="s">
        <v>38</v>
      </c>
      <c r="F42" t="s">
        <v>20</v>
      </c>
    </row>
    <row r="43" spans="1:6" x14ac:dyDescent="0.25">
      <c r="A43">
        <v>42</v>
      </c>
      <c r="B43" t="s">
        <v>390</v>
      </c>
      <c r="C43" t="s">
        <v>491</v>
      </c>
      <c r="D43">
        <v>8400</v>
      </c>
      <c r="E43" t="s">
        <v>38</v>
      </c>
      <c r="F43" t="s">
        <v>20</v>
      </c>
    </row>
    <row r="44" spans="1:6" x14ac:dyDescent="0.25">
      <c r="A44">
        <v>43</v>
      </c>
      <c r="B44" t="s">
        <v>333</v>
      </c>
      <c r="C44" t="s">
        <v>494</v>
      </c>
      <c r="D44">
        <v>8700</v>
      </c>
      <c r="E44" t="s">
        <v>8</v>
      </c>
      <c r="F44" t="s">
        <v>9</v>
      </c>
    </row>
    <row r="45" spans="1:6" x14ac:dyDescent="0.25">
      <c r="A45">
        <v>44</v>
      </c>
      <c r="B45" t="s">
        <v>214</v>
      </c>
      <c r="C45" t="s">
        <v>492</v>
      </c>
      <c r="D45">
        <v>8700</v>
      </c>
      <c r="E45" t="s">
        <v>8</v>
      </c>
      <c r="F45" t="s">
        <v>9</v>
      </c>
    </row>
    <row r="46" spans="1:6" x14ac:dyDescent="0.25">
      <c r="A46">
        <v>45</v>
      </c>
      <c r="B46" t="s">
        <v>203</v>
      </c>
      <c r="C46" t="s">
        <v>490</v>
      </c>
      <c r="D46">
        <v>9000</v>
      </c>
      <c r="E46" t="s">
        <v>8</v>
      </c>
      <c r="F46" t="s">
        <v>9</v>
      </c>
    </row>
    <row r="47" spans="1:6" x14ac:dyDescent="0.25">
      <c r="A47">
        <v>46</v>
      </c>
      <c r="B47" t="s">
        <v>204</v>
      </c>
      <c r="C47" t="s">
        <v>491</v>
      </c>
      <c r="D47">
        <v>9100</v>
      </c>
      <c r="E47" t="s">
        <v>8</v>
      </c>
      <c r="F47" t="s">
        <v>9</v>
      </c>
    </row>
    <row r="48" spans="1:6" x14ac:dyDescent="0.25">
      <c r="A48">
        <v>47</v>
      </c>
      <c r="B48" t="s">
        <v>53</v>
      </c>
      <c r="C48" t="s">
        <v>490</v>
      </c>
      <c r="D48">
        <v>9400</v>
      </c>
      <c r="E48" t="s">
        <v>8</v>
      </c>
      <c r="F48" t="s">
        <v>9</v>
      </c>
    </row>
    <row r="49" spans="1:6" x14ac:dyDescent="0.25">
      <c r="A49">
        <v>48</v>
      </c>
      <c r="B49" t="s">
        <v>265</v>
      </c>
      <c r="C49" t="s">
        <v>483</v>
      </c>
      <c r="D49">
        <v>9400</v>
      </c>
      <c r="E49" t="s">
        <v>8</v>
      </c>
      <c r="F49" t="s">
        <v>9</v>
      </c>
    </row>
    <row r="50" spans="1:6" x14ac:dyDescent="0.25">
      <c r="A50">
        <v>49</v>
      </c>
      <c r="B50" t="s">
        <v>196</v>
      </c>
      <c r="C50" t="s">
        <v>493</v>
      </c>
      <c r="D50">
        <v>9700</v>
      </c>
      <c r="E50" t="s">
        <v>38</v>
      </c>
      <c r="F50" t="s">
        <v>20</v>
      </c>
    </row>
    <row r="51" spans="1:6" x14ac:dyDescent="0.25">
      <c r="A51">
        <v>50</v>
      </c>
      <c r="B51" t="s">
        <v>215</v>
      </c>
      <c r="C51" t="s">
        <v>492</v>
      </c>
      <c r="D51">
        <v>10200</v>
      </c>
      <c r="E51" t="s">
        <v>8</v>
      </c>
      <c r="F51" t="s">
        <v>9</v>
      </c>
    </row>
    <row r="52" spans="1:6" x14ac:dyDescent="0.25">
      <c r="A52">
        <v>51</v>
      </c>
      <c r="B52" t="s">
        <v>88</v>
      </c>
      <c r="C52" t="s">
        <v>485</v>
      </c>
      <c r="D52">
        <v>10300</v>
      </c>
      <c r="E52" t="s">
        <v>8</v>
      </c>
      <c r="F52" t="s">
        <v>9</v>
      </c>
    </row>
    <row r="53" spans="1:6" x14ac:dyDescent="0.25">
      <c r="A53">
        <v>52</v>
      </c>
      <c r="B53" t="s">
        <v>312</v>
      </c>
      <c r="C53" t="s">
        <v>484</v>
      </c>
      <c r="D53">
        <v>10400</v>
      </c>
      <c r="E53" t="s">
        <v>8</v>
      </c>
      <c r="F53" t="s">
        <v>20</v>
      </c>
    </row>
    <row r="54" spans="1:6" x14ac:dyDescent="0.25">
      <c r="A54">
        <v>53</v>
      </c>
      <c r="B54" t="s">
        <v>219</v>
      </c>
      <c r="C54" t="s">
        <v>484</v>
      </c>
      <c r="D54">
        <v>10500</v>
      </c>
      <c r="E54" t="s">
        <v>38</v>
      </c>
      <c r="F54" t="s">
        <v>20</v>
      </c>
    </row>
    <row r="55" spans="1:6" x14ac:dyDescent="0.25">
      <c r="A55">
        <v>54</v>
      </c>
      <c r="B55" t="s">
        <v>420</v>
      </c>
      <c r="C55" t="s">
        <v>492</v>
      </c>
      <c r="D55">
        <v>10700</v>
      </c>
      <c r="E55" t="s">
        <v>8</v>
      </c>
      <c r="F55" t="s">
        <v>9</v>
      </c>
    </row>
    <row r="56" spans="1:6" x14ac:dyDescent="0.25">
      <c r="A56">
        <v>55</v>
      </c>
      <c r="B56" t="s">
        <v>51</v>
      </c>
      <c r="C56" t="s">
        <v>483</v>
      </c>
      <c r="D56">
        <v>10700</v>
      </c>
      <c r="E56" t="s">
        <v>38</v>
      </c>
      <c r="F56" t="s">
        <v>20</v>
      </c>
    </row>
    <row r="57" spans="1:6" x14ac:dyDescent="0.25">
      <c r="A57">
        <v>56</v>
      </c>
      <c r="B57" t="s">
        <v>348</v>
      </c>
      <c r="C57" t="s">
        <v>483</v>
      </c>
      <c r="D57">
        <v>10700</v>
      </c>
      <c r="E57" t="s">
        <v>8</v>
      </c>
      <c r="F57" t="s">
        <v>9</v>
      </c>
    </row>
    <row r="58" spans="1:6" x14ac:dyDescent="0.25">
      <c r="A58">
        <v>57</v>
      </c>
      <c r="B58" t="s">
        <v>47</v>
      </c>
      <c r="C58" t="s">
        <v>488</v>
      </c>
      <c r="D58">
        <v>11100</v>
      </c>
      <c r="E58" t="s">
        <v>23</v>
      </c>
      <c r="F58" t="s">
        <v>9</v>
      </c>
    </row>
    <row r="59" spans="1:6" x14ac:dyDescent="0.25">
      <c r="A59">
        <v>58</v>
      </c>
      <c r="B59" t="s">
        <v>46</v>
      </c>
      <c r="C59" t="s">
        <v>485</v>
      </c>
      <c r="D59">
        <v>11300</v>
      </c>
      <c r="E59" t="s">
        <v>8</v>
      </c>
      <c r="F59" t="s">
        <v>9</v>
      </c>
    </row>
    <row r="60" spans="1:6" x14ac:dyDescent="0.25">
      <c r="A60">
        <v>59</v>
      </c>
      <c r="B60" t="s">
        <v>169</v>
      </c>
      <c r="C60" t="s">
        <v>483</v>
      </c>
      <c r="D60">
        <v>11600</v>
      </c>
      <c r="E60" t="s">
        <v>8</v>
      </c>
      <c r="F60" t="s">
        <v>20</v>
      </c>
    </row>
    <row r="61" spans="1:6" x14ac:dyDescent="0.25">
      <c r="A61">
        <v>60</v>
      </c>
      <c r="B61" t="s">
        <v>194</v>
      </c>
      <c r="C61" t="s">
        <v>483</v>
      </c>
      <c r="D61">
        <v>11900</v>
      </c>
      <c r="E61" t="s">
        <v>8</v>
      </c>
      <c r="F61" t="s">
        <v>9</v>
      </c>
    </row>
    <row r="62" spans="1:6" x14ac:dyDescent="0.25">
      <c r="A62">
        <v>61</v>
      </c>
      <c r="B62" t="s">
        <v>365</v>
      </c>
      <c r="C62" t="s">
        <v>491</v>
      </c>
      <c r="D62">
        <v>11900</v>
      </c>
      <c r="E62" t="s">
        <v>8</v>
      </c>
      <c r="F62" t="s">
        <v>9</v>
      </c>
    </row>
    <row r="63" spans="1:6" x14ac:dyDescent="0.25">
      <c r="A63">
        <v>62</v>
      </c>
      <c r="B63" t="s">
        <v>171</v>
      </c>
      <c r="C63" t="s">
        <v>488</v>
      </c>
      <c r="D63">
        <v>12000</v>
      </c>
      <c r="E63" t="s">
        <v>8</v>
      </c>
      <c r="F63" t="s">
        <v>9</v>
      </c>
    </row>
    <row r="64" spans="1:6" x14ac:dyDescent="0.25">
      <c r="A64">
        <v>63</v>
      </c>
      <c r="B64" t="s">
        <v>348</v>
      </c>
      <c r="C64" t="s">
        <v>493</v>
      </c>
      <c r="D64">
        <v>12100</v>
      </c>
      <c r="E64" t="s">
        <v>8</v>
      </c>
      <c r="F64" t="s">
        <v>9</v>
      </c>
    </row>
    <row r="65" spans="1:6" x14ac:dyDescent="0.25">
      <c r="A65">
        <v>64</v>
      </c>
      <c r="B65" t="s">
        <v>421</v>
      </c>
      <c r="C65" t="s">
        <v>493</v>
      </c>
      <c r="D65">
        <v>12100</v>
      </c>
      <c r="E65" t="s">
        <v>23</v>
      </c>
      <c r="F65" t="s">
        <v>9</v>
      </c>
    </row>
    <row r="66" spans="1:6" x14ac:dyDescent="0.25">
      <c r="A66">
        <v>65</v>
      </c>
      <c r="B66" t="s">
        <v>368</v>
      </c>
      <c r="C66" t="s">
        <v>487</v>
      </c>
      <c r="D66">
        <v>12100</v>
      </c>
      <c r="E66" t="s">
        <v>23</v>
      </c>
      <c r="F66" t="s">
        <v>9</v>
      </c>
    </row>
    <row r="67" spans="1:6" x14ac:dyDescent="0.25">
      <c r="A67">
        <v>66</v>
      </c>
      <c r="B67" t="s">
        <v>64</v>
      </c>
      <c r="C67" t="s">
        <v>488</v>
      </c>
      <c r="D67">
        <v>12200</v>
      </c>
      <c r="E67" t="s">
        <v>8</v>
      </c>
      <c r="F67" t="s">
        <v>9</v>
      </c>
    </row>
    <row r="68" spans="1:6" x14ac:dyDescent="0.25">
      <c r="A68">
        <v>67</v>
      </c>
      <c r="B68" t="s">
        <v>184</v>
      </c>
      <c r="C68" t="s">
        <v>489</v>
      </c>
      <c r="D68">
        <v>12200</v>
      </c>
      <c r="E68" t="s">
        <v>8</v>
      </c>
      <c r="F68" t="s">
        <v>9</v>
      </c>
    </row>
    <row r="69" spans="1:6" x14ac:dyDescent="0.25">
      <c r="A69">
        <v>68</v>
      </c>
      <c r="B69" t="s">
        <v>180</v>
      </c>
      <c r="C69" t="s">
        <v>487</v>
      </c>
      <c r="D69">
        <v>12200</v>
      </c>
      <c r="E69" t="s">
        <v>8</v>
      </c>
      <c r="F69" t="s">
        <v>9</v>
      </c>
    </row>
    <row r="70" spans="1:6" x14ac:dyDescent="0.25">
      <c r="A70">
        <v>69</v>
      </c>
      <c r="B70" t="s">
        <v>207</v>
      </c>
      <c r="C70" t="s">
        <v>492</v>
      </c>
      <c r="D70">
        <v>12300</v>
      </c>
      <c r="E70" t="s">
        <v>8</v>
      </c>
      <c r="F70" t="s">
        <v>9</v>
      </c>
    </row>
    <row r="71" spans="1:6" x14ac:dyDescent="0.25">
      <c r="A71">
        <v>70</v>
      </c>
      <c r="B71" t="s">
        <v>370</v>
      </c>
      <c r="C71" t="s">
        <v>487</v>
      </c>
      <c r="D71">
        <v>12300</v>
      </c>
      <c r="E71" t="s">
        <v>8</v>
      </c>
      <c r="F71" t="s">
        <v>9</v>
      </c>
    </row>
    <row r="72" spans="1:6" x14ac:dyDescent="0.25">
      <c r="A72">
        <v>71</v>
      </c>
      <c r="B72" t="s">
        <v>139</v>
      </c>
      <c r="C72" t="s">
        <v>483</v>
      </c>
      <c r="D72">
        <v>12400</v>
      </c>
      <c r="E72" t="s">
        <v>8</v>
      </c>
      <c r="F72" t="s">
        <v>9</v>
      </c>
    </row>
    <row r="73" spans="1:6" x14ac:dyDescent="0.25">
      <c r="A73">
        <v>72</v>
      </c>
      <c r="B73" t="s">
        <v>175</v>
      </c>
      <c r="C73" t="s">
        <v>484</v>
      </c>
      <c r="D73">
        <v>12400</v>
      </c>
      <c r="E73" t="s">
        <v>8</v>
      </c>
      <c r="F73" t="s">
        <v>20</v>
      </c>
    </row>
    <row r="74" spans="1:6" x14ac:dyDescent="0.25">
      <c r="A74">
        <v>73</v>
      </c>
      <c r="B74" t="s">
        <v>365</v>
      </c>
      <c r="C74" t="s">
        <v>490</v>
      </c>
      <c r="D74">
        <v>12800</v>
      </c>
      <c r="E74" t="s">
        <v>8</v>
      </c>
      <c r="F74" t="s">
        <v>9</v>
      </c>
    </row>
    <row r="75" spans="1:6" x14ac:dyDescent="0.25">
      <c r="A75">
        <v>74</v>
      </c>
      <c r="B75" t="s">
        <v>117</v>
      </c>
      <c r="C75" t="s">
        <v>484</v>
      </c>
      <c r="D75">
        <v>12900</v>
      </c>
      <c r="E75" t="s">
        <v>8</v>
      </c>
      <c r="F75" t="s">
        <v>9</v>
      </c>
    </row>
    <row r="76" spans="1:6" x14ac:dyDescent="0.25">
      <c r="A76">
        <v>75</v>
      </c>
      <c r="B76" t="s">
        <v>364</v>
      </c>
      <c r="C76" t="s">
        <v>485</v>
      </c>
      <c r="D76">
        <v>13000</v>
      </c>
      <c r="E76" t="s">
        <v>8</v>
      </c>
      <c r="F76" t="s">
        <v>20</v>
      </c>
    </row>
    <row r="77" spans="1:6" x14ac:dyDescent="0.25">
      <c r="A77">
        <v>76</v>
      </c>
      <c r="B77" t="s">
        <v>153</v>
      </c>
      <c r="C77" t="s">
        <v>493</v>
      </c>
      <c r="D77">
        <v>13200</v>
      </c>
      <c r="E77" t="s">
        <v>38</v>
      </c>
      <c r="F77" t="s">
        <v>20</v>
      </c>
    </row>
    <row r="78" spans="1:6" x14ac:dyDescent="0.25">
      <c r="A78">
        <v>77</v>
      </c>
      <c r="B78" t="s">
        <v>234</v>
      </c>
      <c r="C78" t="s">
        <v>492</v>
      </c>
      <c r="D78">
        <v>13300</v>
      </c>
      <c r="E78" t="s">
        <v>8</v>
      </c>
      <c r="F78" t="s">
        <v>9</v>
      </c>
    </row>
    <row r="79" spans="1:6" x14ac:dyDescent="0.25">
      <c r="A79">
        <v>78</v>
      </c>
      <c r="B79" t="s">
        <v>279</v>
      </c>
      <c r="C79" t="s">
        <v>492</v>
      </c>
      <c r="D79">
        <v>13500</v>
      </c>
      <c r="E79" t="s">
        <v>38</v>
      </c>
      <c r="F79" t="s">
        <v>20</v>
      </c>
    </row>
    <row r="80" spans="1:6" x14ac:dyDescent="0.25">
      <c r="A80">
        <v>79</v>
      </c>
      <c r="B80" t="s">
        <v>78</v>
      </c>
      <c r="C80" t="s">
        <v>486</v>
      </c>
      <c r="D80">
        <v>13600</v>
      </c>
      <c r="E80" t="s">
        <v>8</v>
      </c>
      <c r="F80" t="s">
        <v>9</v>
      </c>
    </row>
    <row r="81" spans="1:6" x14ac:dyDescent="0.25">
      <c r="A81">
        <v>80</v>
      </c>
      <c r="B81" t="s">
        <v>395</v>
      </c>
      <c r="C81" t="s">
        <v>493</v>
      </c>
      <c r="D81">
        <v>13700</v>
      </c>
      <c r="E81" t="s">
        <v>38</v>
      </c>
      <c r="F81" t="s">
        <v>20</v>
      </c>
    </row>
    <row r="82" spans="1:6" x14ac:dyDescent="0.25">
      <c r="A82">
        <v>81</v>
      </c>
      <c r="B82" t="s">
        <v>229</v>
      </c>
      <c r="C82" t="s">
        <v>494</v>
      </c>
      <c r="D82">
        <v>13700</v>
      </c>
      <c r="E82" t="s">
        <v>23</v>
      </c>
      <c r="F82" t="s">
        <v>9</v>
      </c>
    </row>
    <row r="83" spans="1:6" x14ac:dyDescent="0.25">
      <c r="A83">
        <v>82</v>
      </c>
      <c r="B83" t="s">
        <v>188</v>
      </c>
      <c r="C83" t="s">
        <v>483</v>
      </c>
      <c r="D83">
        <v>13800</v>
      </c>
      <c r="E83" t="s">
        <v>23</v>
      </c>
      <c r="F83" t="s">
        <v>9</v>
      </c>
    </row>
    <row r="84" spans="1:6" x14ac:dyDescent="0.25">
      <c r="A84">
        <v>83</v>
      </c>
      <c r="B84" t="s">
        <v>45</v>
      </c>
      <c r="C84" t="s">
        <v>491</v>
      </c>
      <c r="D84">
        <v>14000</v>
      </c>
      <c r="E84" t="s">
        <v>8</v>
      </c>
      <c r="F84" t="s">
        <v>20</v>
      </c>
    </row>
    <row r="85" spans="1:6" x14ac:dyDescent="0.25">
      <c r="A85">
        <v>84</v>
      </c>
      <c r="B85" t="s">
        <v>97</v>
      </c>
      <c r="C85" t="s">
        <v>484</v>
      </c>
      <c r="D85">
        <v>14000</v>
      </c>
      <c r="E85" t="s">
        <v>8</v>
      </c>
      <c r="F85" t="s">
        <v>20</v>
      </c>
    </row>
    <row r="86" spans="1:6" x14ac:dyDescent="0.25">
      <c r="A86">
        <v>85</v>
      </c>
      <c r="B86" t="s">
        <v>140</v>
      </c>
      <c r="C86" t="s">
        <v>491</v>
      </c>
      <c r="D86">
        <v>14100</v>
      </c>
      <c r="E86" t="s">
        <v>8</v>
      </c>
      <c r="F86" t="s">
        <v>9</v>
      </c>
    </row>
    <row r="87" spans="1:6" x14ac:dyDescent="0.25">
      <c r="A87">
        <v>86</v>
      </c>
      <c r="B87" t="s">
        <v>322</v>
      </c>
      <c r="C87" t="s">
        <v>485</v>
      </c>
      <c r="D87">
        <v>14200</v>
      </c>
      <c r="E87" t="s">
        <v>23</v>
      </c>
      <c r="F87" t="s">
        <v>9</v>
      </c>
    </row>
    <row r="88" spans="1:6" x14ac:dyDescent="0.25">
      <c r="A88">
        <v>87</v>
      </c>
      <c r="B88" t="s">
        <v>169</v>
      </c>
      <c r="C88" t="s">
        <v>488</v>
      </c>
      <c r="D88">
        <v>14300</v>
      </c>
      <c r="E88" t="s">
        <v>8</v>
      </c>
      <c r="F88" t="s">
        <v>9</v>
      </c>
    </row>
    <row r="89" spans="1:6" x14ac:dyDescent="0.25">
      <c r="A89">
        <v>88</v>
      </c>
      <c r="B89" t="s">
        <v>37</v>
      </c>
      <c r="C89" t="s">
        <v>488</v>
      </c>
      <c r="D89">
        <v>14500</v>
      </c>
      <c r="E89" t="s">
        <v>8</v>
      </c>
      <c r="F89" t="s">
        <v>9</v>
      </c>
    </row>
    <row r="90" spans="1:6" x14ac:dyDescent="0.25">
      <c r="A90">
        <v>89</v>
      </c>
      <c r="B90" t="s">
        <v>102</v>
      </c>
      <c r="C90" t="s">
        <v>490</v>
      </c>
      <c r="D90">
        <v>14600</v>
      </c>
      <c r="E90" t="s">
        <v>23</v>
      </c>
      <c r="F90" t="s">
        <v>9</v>
      </c>
    </row>
    <row r="91" spans="1:6" x14ac:dyDescent="0.25">
      <c r="A91">
        <v>90</v>
      </c>
      <c r="B91" t="s">
        <v>217</v>
      </c>
      <c r="C91" t="s">
        <v>484</v>
      </c>
      <c r="D91">
        <v>14700</v>
      </c>
      <c r="E91" t="s">
        <v>8</v>
      </c>
      <c r="F91" t="s">
        <v>9</v>
      </c>
    </row>
    <row r="92" spans="1:6" x14ac:dyDescent="0.25">
      <c r="A92">
        <v>91</v>
      </c>
      <c r="B92" t="s">
        <v>325</v>
      </c>
      <c r="C92" t="s">
        <v>490</v>
      </c>
      <c r="D92">
        <v>14800</v>
      </c>
      <c r="E92" t="s">
        <v>38</v>
      </c>
      <c r="F92" t="s">
        <v>20</v>
      </c>
    </row>
    <row r="93" spans="1:6" x14ac:dyDescent="0.25">
      <c r="A93">
        <v>92</v>
      </c>
      <c r="B93" t="s">
        <v>277</v>
      </c>
      <c r="C93" t="s">
        <v>490</v>
      </c>
      <c r="D93">
        <v>14800</v>
      </c>
      <c r="E93" t="s">
        <v>8</v>
      </c>
      <c r="F93" t="s">
        <v>9</v>
      </c>
    </row>
    <row r="94" spans="1:6" x14ac:dyDescent="0.25">
      <c r="A94">
        <v>93</v>
      </c>
      <c r="B94" t="s">
        <v>67</v>
      </c>
      <c r="C94" t="s">
        <v>494</v>
      </c>
      <c r="D94">
        <v>14800</v>
      </c>
      <c r="E94" t="s">
        <v>8</v>
      </c>
      <c r="F94" t="s">
        <v>9</v>
      </c>
    </row>
    <row r="95" spans="1:6" x14ac:dyDescent="0.25">
      <c r="A95">
        <v>94</v>
      </c>
      <c r="B95" t="s">
        <v>220</v>
      </c>
      <c r="C95" t="s">
        <v>492</v>
      </c>
      <c r="D95">
        <v>14900</v>
      </c>
      <c r="E95" t="s">
        <v>8</v>
      </c>
      <c r="F95" t="s">
        <v>20</v>
      </c>
    </row>
    <row r="96" spans="1:6" x14ac:dyDescent="0.25">
      <c r="A96">
        <v>95</v>
      </c>
      <c r="B96" t="s">
        <v>169</v>
      </c>
      <c r="C96" t="s">
        <v>486</v>
      </c>
      <c r="D96">
        <v>15000</v>
      </c>
      <c r="E96" t="s">
        <v>8</v>
      </c>
      <c r="F96" t="s">
        <v>9</v>
      </c>
    </row>
    <row r="97" spans="1:6" x14ac:dyDescent="0.25">
      <c r="A97">
        <v>96</v>
      </c>
      <c r="B97" t="s">
        <v>34</v>
      </c>
      <c r="C97" t="s">
        <v>483</v>
      </c>
      <c r="D97">
        <v>15200</v>
      </c>
      <c r="E97" t="s">
        <v>8</v>
      </c>
      <c r="F97" t="s">
        <v>9</v>
      </c>
    </row>
    <row r="98" spans="1:6" x14ac:dyDescent="0.25">
      <c r="A98">
        <v>97</v>
      </c>
      <c r="B98" t="s">
        <v>182</v>
      </c>
      <c r="C98" t="s">
        <v>486</v>
      </c>
      <c r="D98">
        <v>15300</v>
      </c>
      <c r="E98" t="s">
        <v>23</v>
      </c>
      <c r="F98" t="s">
        <v>9</v>
      </c>
    </row>
    <row r="99" spans="1:6" x14ac:dyDescent="0.25">
      <c r="A99">
        <v>98</v>
      </c>
      <c r="B99" t="s">
        <v>74</v>
      </c>
      <c r="C99" t="s">
        <v>485</v>
      </c>
      <c r="D99">
        <v>15400</v>
      </c>
      <c r="E99" t="s">
        <v>23</v>
      </c>
      <c r="F99" t="s">
        <v>9</v>
      </c>
    </row>
    <row r="100" spans="1:6" x14ac:dyDescent="0.25">
      <c r="A100">
        <v>99</v>
      </c>
      <c r="B100" t="s">
        <v>289</v>
      </c>
      <c r="C100" t="s">
        <v>494</v>
      </c>
      <c r="D100">
        <v>15400</v>
      </c>
      <c r="E100" t="s">
        <v>8</v>
      </c>
      <c r="F100" t="s">
        <v>9</v>
      </c>
    </row>
    <row r="101" spans="1:6" x14ac:dyDescent="0.25">
      <c r="A101">
        <v>100</v>
      </c>
      <c r="B101" t="s">
        <v>26</v>
      </c>
      <c r="C101" t="s">
        <v>490</v>
      </c>
      <c r="D101">
        <v>15600</v>
      </c>
      <c r="E101" t="s">
        <v>38</v>
      </c>
      <c r="F101" t="s">
        <v>20</v>
      </c>
    </row>
    <row r="102" spans="1:6" x14ac:dyDescent="0.25">
      <c r="A102">
        <v>101</v>
      </c>
      <c r="B102" t="s">
        <v>403</v>
      </c>
      <c r="C102" t="s">
        <v>491</v>
      </c>
      <c r="D102">
        <v>16300</v>
      </c>
      <c r="E102" t="s">
        <v>38</v>
      </c>
      <c r="F102" t="s">
        <v>20</v>
      </c>
    </row>
    <row r="103" spans="1:6" x14ac:dyDescent="0.25">
      <c r="A103">
        <v>102</v>
      </c>
      <c r="B103" t="s">
        <v>50</v>
      </c>
      <c r="C103" t="s">
        <v>488</v>
      </c>
      <c r="D103">
        <v>16300</v>
      </c>
      <c r="E103" t="s">
        <v>8</v>
      </c>
      <c r="F103" t="s">
        <v>9</v>
      </c>
    </row>
    <row r="104" spans="1:6" x14ac:dyDescent="0.25">
      <c r="A104">
        <v>103</v>
      </c>
      <c r="B104" t="s">
        <v>308</v>
      </c>
      <c r="C104" t="s">
        <v>486</v>
      </c>
      <c r="D104">
        <v>16300</v>
      </c>
      <c r="E104" t="s">
        <v>8</v>
      </c>
      <c r="F104" t="s">
        <v>9</v>
      </c>
    </row>
    <row r="105" spans="1:6" x14ac:dyDescent="0.25">
      <c r="A105">
        <v>104</v>
      </c>
      <c r="B105" t="s">
        <v>225</v>
      </c>
      <c r="C105" t="s">
        <v>494</v>
      </c>
      <c r="D105">
        <v>16400</v>
      </c>
      <c r="E105" t="s">
        <v>8</v>
      </c>
      <c r="F105" t="s">
        <v>20</v>
      </c>
    </row>
    <row r="106" spans="1:6" x14ac:dyDescent="0.25">
      <c r="A106">
        <v>105</v>
      </c>
      <c r="B106" t="s">
        <v>60</v>
      </c>
      <c r="C106" t="s">
        <v>492</v>
      </c>
      <c r="D106">
        <v>16400</v>
      </c>
      <c r="E106" t="s">
        <v>8</v>
      </c>
      <c r="F106" t="s">
        <v>9</v>
      </c>
    </row>
    <row r="107" spans="1:6" x14ac:dyDescent="0.25">
      <c r="A107">
        <v>106</v>
      </c>
      <c r="B107" t="s">
        <v>393</v>
      </c>
      <c r="C107" t="s">
        <v>488</v>
      </c>
      <c r="D107">
        <v>16400</v>
      </c>
      <c r="E107" t="s">
        <v>8</v>
      </c>
      <c r="F107" t="s">
        <v>9</v>
      </c>
    </row>
    <row r="108" spans="1:6" x14ac:dyDescent="0.25">
      <c r="A108">
        <v>107</v>
      </c>
      <c r="B108" t="s">
        <v>191</v>
      </c>
      <c r="C108" t="s">
        <v>488</v>
      </c>
      <c r="D108">
        <v>16500</v>
      </c>
      <c r="E108" t="s">
        <v>8</v>
      </c>
      <c r="F108" t="s">
        <v>20</v>
      </c>
    </row>
    <row r="109" spans="1:6" x14ac:dyDescent="0.25">
      <c r="A109">
        <v>108</v>
      </c>
      <c r="B109" t="s">
        <v>286</v>
      </c>
      <c r="C109" t="s">
        <v>485</v>
      </c>
      <c r="D109">
        <v>16600</v>
      </c>
      <c r="E109" t="s">
        <v>8</v>
      </c>
      <c r="F109" t="s">
        <v>9</v>
      </c>
    </row>
    <row r="110" spans="1:6" x14ac:dyDescent="0.25">
      <c r="A110">
        <v>109</v>
      </c>
      <c r="B110" t="s">
        <v>12</v>
      </c>
      <c r="C110" t="s">
        <v>484</v>
      </c>
      <c r="D110">
        <v>16700</v>
      </c>
      <c r="E110" t="s">
        <v>8</v>
      </c>
      <c r="F110" t="s">
        <v>9</v>
      </c>
    </row>
    <row r="111" spans="1:6" x14ac:dyDescent="0.25">
      <c r="A111">
        <v>110</v>
      </c>
      <c r="B111" t="s">
        <v>46</v>
      </c>
      <c r="C111" t="s">
        <v>485</v>
      </c>
      <c r="D111">
        <v>16700</v>
      </c>
      <c r="E111" t="s">
        <v>8</v>
      </c>
      <c r="F111" t="s">
        <v>9</v>
      </c>
    </row>
    <row r="112" spans="1:6" x14ac:dyDescent="0.25">
      <c r="A112">
        <v>111</v>
      </c>
      <c r="B112" t="s">
        <v>37</v>
      </c>
      <c r="C112" t="s">
        <v>493</v>
      </c>
      <c r="D112">
        <v>16800</v>
      </c>
      <c r="E112" t="s">
        <v>8</v>
      </c>
      <c r="F112" t="s">
        <v>9</v>
      </c>
    </row>
    <row r="113" spans="1:6" x14ac:dyDescent="0.25">
      <c r="A113">
        <v>112</v>
      </c>
      <c r="B113" t="s">
        <v>116</v>
      </c>
      <c r="C113" t="s">
        <v>487</v>
      </c>
      <c r="D113">
        <v>17200</v>
      </c>
      <c r="E113" t="s">
        <v>23</v>
      </c>
      <c r="F113" t="s">
        <v>9</v>
      </c>
    </row>
    <row r="114" spans="1:6" x14ac:dyDescent="0.25">
      <c r="A114">
        <v>113</v>
      </c>
      <c r="B114" t="s">
        <v>99</v>
      </c>
      <c r="C114" t="s">
        <v>483</v>
      </c>
      <c r="D114">
        <v>17300</v>
      </c>
      <c r="E114" t="s">
        <v>8</v>
      </c>
      <c r="F114" t="s">
        <v>9</v>
      </c>
    </row>
    <row r="115" spans="1:6" x14ac:dyDescent="0.25">
      <c r="A115">
        <v>114</v>
      </c>
      <c r="B115" t="s">
        <v>116</v>
      </c>
      <c r="C115" t="s">
        <v>492</v>
      </c>
      <c r="D115">
        <v>17300</v>
      </c>
      <c r="E115" t="s">
        <v>38</v>
      </c>
      <c r="F115" t="s">
        <v>20</v>
      </c>
    </row>
    <row r="116" spans="1:6" x14ac:dyDescent="0.25">
      <c r="A116">
        <v>115</v>
      </c>
      <c r="B116" t="s">
        <v>398</v>
      </c>
      <c r="C116" t="s">
        <v>485</v>
      </c>
      <c r="D116">
        <v>17300</v>
      </c>
      <c r="E116" t="s">
        <v>8</v>
      </c>
      <c r="F116" t="s">
        <v>9</v>
      </c>
    </row>
    <row r="117" spans="1:6" x14ac:dyDescent="0.25">
      <c r="A117">
        <v>116</v>
      </c>
      <c r="B117" t="s">
        <v>210</v>
      </c>
      <c r="C117" t="s">
        <v>487</v>
      </c>
      <c r="D117">
        <v>17400</v>
      </c>
      <c r="E117" t="s">
        <v>8</v>
      </c>
      <c r="F117" t="s">
        <v>9</v>
      </c>
    </row>
    <row r="118" spans="1:6" x14ac:dyDescent="0.25">
      <c r="A118">
        <v>117</v>
      </c>
      <c r="B118" t="s">
        <v>47</v>
      </c>
      <c r="C118" t="s">
        <v>488</v>
      </c>
      <c r="D118">
        <v>17800</v>
      </c>
      <c r="E118" t="s">
        <v>8</v>
      </c>
      <c r="F118" t="s">
        <v>9</v>
      </c>
    </row>
    <row r="119" spans="1:6" x14ac:dyDescent="0.25">
      <c r="A119">
        <v>118</v>
      </c>
      <c r="B119" t="s">
        <v>369</v>
      </c>
      <c r="C119" t="s">
        <v>487</v>
      </c>
      <c r="D119">
        <v>18000</v>
      </c>
      <c r="E119" t="s">
        <v>38</v>
      </c>
      <c r="F119" t="s">
        <v>20</v>
      </c>
    </row>
    <row r="120" spans="1:6" x14ac:dyDescent="0.25">
      <c r="A120">
        <v>119</v>
      </c>
      <c r="B120" t="s">
        <v>209</v>
      </c>
      <c r="C120" t="s">
        <v>483</v>
      </c>
      <c r="D120">
        <v>18100</v>
      </c>
      <c r="E120" t="s">
        <v>8</v>
      </c>
      <c r="F120" t="s">
        <v>20</v>
      </c>
    </row>
    <row r="121" spans="1:6" x14ac:dyDescent="0.25">
      <c r="A121">
        <v>120</v>
      </c>
      <c r="B121" t="s">
        <v>315</v>
      </c>
      <c r="C121" t="s">
        <v>489</v>
      </c>
      <c r="D121">
        <v>18100</v>
      </c>
      <c r="E121" t="s">
        <v>8</v>
      </c>
      <c r="F121" t="s">
        <v>20</v>
      </c>
    </row>
    <row r="122" spans="1:6" x14ac:dyDescent="0.25">
      <c r="A122">
        <v>121</v>
      </c>
      <c r="B122" t="s">
        <v>248</v>
      </c>
      <c r="C122" t="s">
        <v>489</v>
      </c>
      <c r="D122">
        <v>18100</v>
      </c>
      <c r="E122" t="s">
        <v>8</v>
      </c>
      <c r="F122" t="s">
        <v>20</v>
      </c>
    </row>
    <row r="123" spans="1:6" x14ac:dyDescent="0.25">
      <c r="A123">
        <v>122</v>
      </c>
      <c r="B123" t="s">
        <v>49</v>
      </c>
      <c r="C123" t="s">
        <v>487</v>
      </c>
      <c r="D123">
        <v>18300</v>
      </c>
      <c r="E123" t="s">
        <v>8</v>
      </c>
      <c r="F123" t="s">
        <v>9</v>
      </c>
    </row>
    <row r="124" spans="1:6" x14ac:dyDescent="0.25">
      <c r="A124">
        <v>123</v>
      </c>
      <c r="B124" t="s">
        <v>244</v>
      </c>
      <c r="C124" t="s">
        <v>492</v>
      </c>
      <c r="D124">
        <v>18300</v>
      </c>
      <c r="E124" t="s">
        <v>8</v>
      </c>
      <c r="F124" t="s">
        <v>9</v>
      </c>
    </row>
    <row r="125" spans="1:6" x14ac:dyDescent="0.25">
      <c r="A125">
        <v>124</v>
      </c>
      <c r="B125" t="s">
        <v>344</v>
      </c>
      <c r="C125" t="s">
        <v>487</v>
      </c>
      <c r="D125">
        <v>18400</v>
      </c>
      <c r="E125" t="s">
        <v>8</v>
      </c>
      <c r="F125" t="s">
        <v>9</v>
      </c>
    </row>
    <row r="126" spans="1:6" x14ac:dyDescent="0.25">
      <c r="A126">
        <v>125</v>
      </c>
      <c r="B126" t="s">
        <v>73</v>
      </c>
      <c r="C126" t="s">
        <v>484</v>
      </c>
      <c r="D126">
        <v>18600</v>
      </c>
      <c r="E126" t="s">
        <v>8</v>
      </c>
      <c r="F126" t="s">
        <v>9</v>
      </c>
    </row>
    <row r="127" spans="1:6" x14ac:dyDescent="0.25">
      <c r="A127">
        <v>126</v>
      </c>
      <c r="B127" t="s">
        <v>390</v>
      </c>
      <c r="C127" t="s">
        <v>488</v>
      </c>
      <c r="D127">
        <v>18600</v>
      </c>
      <c r="E127" t="s">
        <v>23</v>
      </c>
      <c r="F127" t="s">
        <v>9</v>
      </c>
    </row>
    <row r="128" spans="1:6" x14ac:dyDescent="0.25">
      <c r="A128">
        <v>127</v>
      </c>
      <c r="B128" t="s">
        <v>106</v>
      </c>
      <c r="C128" t="s">
        <v>485</v>
      </c>
      <c r="D128">
        <v>18800</v>
      </c>
      <c r="E128" t="s">
        <v>8</v>
      </c>
      <c r="F128" t="s">
        <v>20</v>
      </c>
    </row>
    <row r="129" spans="1:6" x14ac:dyDescent="0.25">
      <c r="A129">
        <v>128</v>
      </c>
      <c r="B129" t="s">
        <v>182</v>
      </c>
      <c r="C129" t="s">
        <v>494</v>
      </c>
      <c r="D129">
        <v>18800</v>
      </c>
      <c r="E129" t="s">
        <v>8</v>
      </c>
      <c r="F129" t="s">
        <v>9</v>
      </c>
    </row>
    <row r="130" spans="1:6" x14ac:dyDescent="0.25">
      <c r="A130">
        <v>129</v>
      </c>
      <c r="B130" t="s">
        <v>223</v>
      </c>
      <c r="C130" t="s">
        <v>486</v>
      </c>
      <c r="D130">
        <v>19700</v>
      </c>
      <c r="E130" t="s">
        <v>8</v>
      </c>
      <c r="F130" t="s">
        <v>9</v>
      </c>
    </row>
    <row r="131" spans="1:6" x14ac:dyDescent="0.25">
      <c r="A131">
        <v>130</v>
      </c>
      <c r="B131" t="s">
        <v>126</v>
      </c>
      <c r="C131" t="s">
        <v>487</v>
      </c>
      <c r="D131">
        <v>20000</v>
      </c>
      <c r="E131" t="s">
        <v>8</v>
      </c>
      <c r="F131" t="s">
        <v>9</v>
      </c>
    </row>
    <row r="132" spans="1:6" x14ac:dyDescent="0.25">
      <c r="A132">
        <v>131</v>
      </c>
      <c r="B132" t="s">
        <v>292</v>
      </c>
      <c r="C132" t="s">
        <v>493</v>
      </c>
      <c r="D132">
        <v>20000</v>
      </c>
      <c r="E132" t="s">
        <v>8</v>
      </c>
      <c r="F132" t="s">
        <v>9</v>
      </c>
    </row>
    <row r="133" spans="1:6" x14ac:dyDescent="0.25">
      <c r="A133">
        <v>132</v>
      </c>
      <c r="B133" t="s">
        <v>41</v>
      </c>
      <c r="C133" t="s">
        <v>489</v>
      </c>
      <c r="D133">
        <v>20100</v>
      </c>
      <c r="E133" t="s">
        <v>8</v>
      </c>
      <c r="F133" t="s">
        <v>9</v>
      </c>
    </row>
    <row r="134" spans="1:6" x14ac:dyDescent="0.25">
      <c r="A134">
        <v>133</v>
      </c>
      <c r="B134" t="s">
        <v>275</v>
      </c>
      <c r="C134" t="s">
        <v>488</v>
      </c>
      <c r="D134">
        <v>20100</v>
      </c>
      <c r="E134" t="s">
        <v>38</v>
      </c>
      <c r="F134" t="s">
        <v>20</v>
      </c>
    </row>
    <row r="135" spans="1:6" x14ac:dyDescent="0.25">
      <c r="A135">
        <v>134</v>
      </c>
      <c r="B135" t="s">
        <v>103</v>
      </c>
      <c r="C135" t="s">
        <v>493</v>
      </c>
      <c r="D135">
        <v>20300</v>
      </c>
      <c r="E135" t="s">
        <v>8</v>
      </c>
      <c r="F135" t="s">
        <v>9</v>
      </c>
    </row>
    <row r="136" spans="1:6" x14ac:dyDescent="0.25">
      <c r="A136">
        <v>135</v>
      </c>
      <c r="B136" t="s">
        <v>45</v>
      </c>
      <c r="C136" t="s">
        <v>489</v>
      </c>
      <c r="D136">
        <v>20300</v>
      </c>
      <c r="E136" t="s">
        <v>38</v>
      </c>
      <c r="F136" t="s">
        <v>20</v>
      </c>
    </row>
    <row r="137" spans="1:6" x14ac:dyDescent="0.25">
      <c r="A137">
        <v>136</v>
      </c>
      <c r="B137" t="s">
        <v>341</v>
      </c>
      <c r="C137" t="s">
        <v>488</v>
      </c>
      <c r="D137">
        <v>20400</v>
      </c>
      <c r="E137" t="s">
        <v>8</v>
      </c>
      <c r="F137" t="s">
        <v>9</v>
      </c>
    </row>
    <row r="138" spans="1:6" x14ac:dyDescent="0.25">
      <c r="A138">
        <v>137</v>
      </c>
      <c r="B138" t="s">
        <v>137</v>
      </c>
      <c r="C138" t="s">
        <v>490</v>
      </c>
      <c r="D138">
        <v>20400</v>
      </c>
      <c r="E138" t="s">
        <v>8</v>
      </c>
      <c r="F138" t="s">
        <v>20</v>
      </c>
    </row>
    <row r="139" spans="1:6" x14ac:dyDescent="0.25">
      <c r="A139">
        <v>138</v>
      </c>
      <c r="B139" t="s">
        <v>240</v>
      </c>
      <c r="C139" t="s">
        <v>487</v>
      </c>
      <c r="D139">
        <v>20500</v>
      </c>
      <c r="E139" t="s">
        <v>23</v>
      </c>
      <c r="F139" t="s">
        <v>9</v>
      </c>
    </row>
    <row r="140" spans="1:6" x14ac:dyDescent="0.25">
      <c r="A140">
        <v>139</v>
      </c>
      <c r="B140" t="s">
        <v>388</v>
      </c>
      <c r="C140" t="s">
        <v>489</v>
      </c>
      <c r="D140">
        <v>20500</v>
      </c>
      <c r="E140" t="s">
        <v>8</v>
      </c>
      <c r="F140" t="s">
        <v>9</v>
      </c>
    </row>
    <row r="141" spans="1:6" x14ac:dyDescent="0.25">
      <c r="A141">
        <v>140</v>
      </c>
      <c r="B141" t="s">
        <v>150</v>
      </c>
      <c r="C141" t="s">
        <v>490</v>
      </c>
      <c r="D141">
        <v>20600</v>
      </c>
      <c r="E141" t="s">
        <v>8</v>
      </c>
      <c r="F141" t="s">
        <v>9</v>
      </c>
    </row>
    <row r="142" spans="1:6" x14ac:dyDescent="0.25">
      <c r="A142">
        <v>141</v>
      </c>
      <c r="B142" t="s">
        <v>42</v>
      </c>
      <c r="C142" t="s">
        <v>490</v>
      </c>
      <c r="D142">
        <v>20700</v>
      </c>
      <c r="E142" t="s">
        <v>8</v>
      </c>
      <c r="F142" t="s">
        <v>9</v>
      </c>
    </row>
    <row r="143" spans="1:6" x14ac:dyDescent="0.25">
      <c r="A143">
        <v>142</v>
      </c>
      <c r="B143" t="s">
        <v>197</v>
      </c>
      <c r="C143" t="s">
        <v>491</v>
      </c>
      <c r="D143">
        <v>20700</v>
      </c>
      <c r="E143" t="s">
        <v>8</v>
      </c>
      <c r="F143" t="s">
        <v>9</v>
      </c>
    </row>
    <row r="144" spans="1:6" x14ac:dyDescent="0.25">
      <c r="A144">
        <v>143</v>
      </c>
      <c r="B144" t="s">
        <v>331</v>
      </c>
      <c r="C144" t="s">
        <v>486</v>
      </c>
      <c r="D144">
        <v>20800</v>
      </c>
      <c r="E144" t="s">
        <v>38</v>
      </c>
      <c r="F144" t="s">
        <v>20</v>
      </c>
    </row>
    <row r="145" spans="1:6" x14ac:dyDescent="0.25">
      <c r="A145">
        <v>144</v>
      </c>
      <c r="B145" t="s">
        <v>119</v>
      </c>
      <c r="C145" t="s">
        <v>486</v>
      </c>
      <c r="D145">
        <v>20800</v>
      </c>
      <c r="E145" t="s">
        <v>38</v>
      </c>
      <c r="F145" t="s">
        <v>9</v>
      </c>
    </row>
    <row r="146" spans="1:6" x14ac:dyDescent="0.25">
      <c r="A146">
        <v>145</v>
      </c>
      <c r="B146" t="s">
        <v>124</v>
      </c>
      <c r="C146" t="s">
        <v>491</v>
      </c>
      <c r="D146">
        <v>20800</v>
      </c>
      <c r="E146" t="s">
        <v>8</v>
      </c>
      <c r="F146" t="s">
        <v>9</v>
      </c>
    </row>
    <row r="147" spans="1:6" x14ac:dyDescent="0.25">
      <c r="A147">
        <v>146</v>
      </c>
      <c r="B147" t="s">
        <v>317</v>
      </c>
      <c r="C147" t="s">
        <v>488</v>
      </c>
      <c r="D147">
        <v>20900</v>
      </c>
      <c r="E147" t="s">
        <v>8</v>
      </c>
      <c r="F147" t="s">
        <v>9</v>
      </c>
    </row>
    <row r="148" spans="1:6" x14ac:dyDescent="0.25">
      <c r="A148">
        <v>147</v>
      </c>
      <c r="B148" t="s">
        <v>162</v>
      </c>
      <c r="C148" t="s">
        <v>490</v>
      </c>
      <c r="D148">
        <v>21000</v>
      </c>
      <c r="E148" t="s">
        <v>8</v>
      </c>
      <c r="F148" t="s">
        <v>9</v>
      </c>
    </row>
    <row r="149" spans="1:6" x14ac:dyDescent="0.25">
      <c r="A149">
        <v>148</v>
      </c>
      <c r="B149" t="s">
        <v>280</v>
      </c>
      <c r="C149" t="s">
        <v>493</v>
      </c>
      <c r="D149">
        <v>21300</v>
      </c>
      <c r="E149" t="s">
        <v>38</v>
      </c>
      <c r="F149" t="s">
        <v>20</v>
      </c>
    </row>
    <row r="150" spans="1:6" x14ac:dyDescent="0.25">
      <c r="A150">
        <v>149</v>
      </c>
      <c r="B150" t="s">
        <v>126</v>
      </c>
      <c r="C150" t="s">
        <v>491</v>
      </c>
      <c r="D150">
        <v>21600</v>
      </c>
      <c r="E150" t="s">
        <v>8</v>
      </c>
      <c r="F150" t="s">
        <v>9</v>
      </c>
    </row>
    <row r="151" spans="1:6" x14ac:dyDescent="0.25">
      <c r="A151">
        <v>150</v>
      </c>
      <c r="B151" t="s">
        <v>214</v>
      </c>
      <c r="C151" t="s">
        <v>494</v>
      </c>
      <c r="D151">
        <v>21700</v>
      </c>
      <c r="E151" t="s">
        <v>8</v>
      </c>
      <c r="F151" t="s">
        <v>9</v>
      </c>
    </row>
    <row r="152" spans="1:6" x14ac:dyDescent="0.25">
      <c r="A152">
        <v>151</v>
      </c>
      <c r="B152" t="s">
        <v>327</v>
      </c>
      <c r="C152" t="s">
        <v>492</v>
      </c>
      <c r="D152">
        <v>21800</v>
      </c>
      <c r="E152" t="s">
        <v>38</v>
      </c>
      <c r="F152" t="s">
        <v>20</v>
      </c>
    </row>
    <row r="153" spans="1:6" x14ac:dyDescent="0.25">
      <c r="A153">
        <v>152</v>
      </c>
      <c r="B153" t="s">
        <v>396</v>
      </c>
      <c r="C153" t="s">
        <v>487</v>
      </c>
      <c r="D153">
        <v>21800</v>
      </c>
      <c r="E153" t="s">
        <v>8</v>
      </c>
      <c r="F153" t="s">
        <v>9</v>
      </c>
    </row>
    <row r="154" spans="1:6" x14ac:dyDescent="0.25">
      <c r="A154">
        <v>153</v>
      </c>
      <c r="B154" t="s">
        <v>265</v>
      </c>
      <c r="C154" t="s">
        <v>491</v>
      </c>
      <c r="D154">
        <v>22200</v>
      </c>
      <c r="E154" t="s">
        <v>8</v>
      </c>
      <c r="F154" t="s">
        <v>20</v>
      </c>
    </row>
    <row r="155" spans="1:6" x14ac:dyDescent="0.25">
      <c r="A155">
        <v>154</v>
      </c>
      <c r="B155" t="s">
        <v>57</v>
      </c>
      <c r="C155" t="s">
        <v>492</v>
      </c>
      <c r="D155">
        <v>22300</v>
      </c>
      <c r="E155" t="s">
        <v>8</v>
      </c>
      <c r="F155" t="s">
        <v>9</v>
      </c>
    </row>
    <row r="156" spans="1:6" x14ac:dyDescent="0.25">
      <c r="A156">
        <v>155</v>
      </c>
      <c r="B156" t="s">
        <v>370</v>
      </c>
      <c r="C156" t="s">
        <v>494</v>
      </c>
      <c r="D156">
        <v>22400</v>
      </c>
      <c r="E156" t="s">
        <v>8</v>
      </c>
      <c r="F156" t="s">
        <v>20</v>
      </c>
    </row>
    <row r="157" spans="1:6" x14ac:dyDescent="0.25">
      <c r="A157">
        <v>156</v>
      </c>
      <c r="B157" t="s">
        <v>258</v>
      </c>
      <c r="C157" t="s">
        <v>490</v>
      </c>
      <c r="D157">
        <v>22700</v>
      </c>
      <c r="E157" t="s">
        <v>23</v>
      </c>
      <c r="F157" t="s">
        <v>9</v>
      </c>
    </row>
    <row r="158" spans="1:6" x14ac:dyDescent="0.25">
      <c r="A158">
        <v>157</v>
      </c>
      <c r="B158" t="s">
        <v>196</v>
      </c>
      <c r="C158" t="s">
        <v>484</v>
      </c>
      <c r="D158">
        <v>22700</v>
      </c>
      <c r="E158" t="s">
        <v>8</v>
      </c>
      <c r="F158" t="s">
        <v>9</v>
      </c>
    </row>
    <row r="159" spans="1:6" x14ac:dyDescent="0.25">
      <c r="A159">
        <v>158</v>
      </c>
      <c r="B159" t="s">
        <v>362</v>
      </c>
      <c r="C159" t="s">
        <v>492</v>
      </c>
      <c r="D159">
        <v>22700</v>
      </c>
      <c r="E159" t="s">
        <v>8</v>
      </c>
      <c r="F159" t="s">
        <v>9</v>
      </c>
    </row>
    <row r="160" spans="1:6" x14ac:dyDescent="0.25">
      <c r="A160">
        <v>159</v>
      </c>
      <c r="B160" t="s">
        <v>358</v>
      </c>
      <c r="C160" t="s">
        <v>491</v>
      </c>
      <c r="D160">
        <v>22800</v>
      </c>
      <c r="E160" t="s">
        <v>8</v>
      </c>
      <c r="F160" t="s">
        <v>9</v>
      </c>
    </row>
    <row r="161" spans="1:6" x14ac:dyDescent="0.25">
      <c r="A161">
        <v>160</v>
      </c>
      <c r="B161" t="s">
        <v>146</v>
      </c>
      <c r="C161" t="s">
        <v>485</v>
      </c>
      <c r="D161">
        <v>22900</v>
      </c>
      <c r="E161" t="s">
        <v>8</v>
      </c>
      <c r="F161" t="s">
        <v>9</v>
      </c>
    </row>
    <row r="162" spans="1:6" x14ac:dyDescent="0.25">
      <c r="A162">
        <v>161</v>
      </c>
      <c r="B162" t="s">
        <v>219</v>
      </c>
      <c r="C162" t="s">
        <v>485</v>
      </c>
      <c r="D162">
        <v>23100</v>
      </c>
      <c r="E162" t="s">
        <v>8</v>
      </c>
      <c r="F162" t="s">
        <v>9</v>
      </c>
    </row>
    <row r="163" spans="1:6" x14ac:dyDescent="0.25">
      <c r="A163">
        <v>162</v>
      </c>
      <c r="B163" t="s">
        <v>231</v>
      </c>
      <c r="C163" t="s">
        <v>492</v>
      </c>
      <c r="D163">
        <v>23200</v>
      </c>
      <c r="E163" t="s">
        <v>8</v>
      </c>
      <c r="F163" t="s">
        <v>9</v>
      </c>
    </row>
    <row r="164" spans="1:6" x14ac:dyDescent="0.25">
      <c r="A164">
        <v>163</v>
      </c>
      <c r="B164" t="s">
        <v>194</v>
      </c>
      <c r="C164" t="s">
        <v>483</v>
      </c>
      <c r="D164">
        <v>23200</v>
      </c>
      <c r="E164" t="s">
        <v>8</v>
      </c>
      <c r="F164" t="s">
        <v>9</v>
      </c>
    </row>
    <row r="165" spans="1:6" x14ac:dyDescent="0.25">
      <c r="A165">
        <v>164</v>
      </c>
      <c r="B165" t="s">
        <v>122</v>
      </c>
      <c r="C165" t="s">
        <v>484</v>
      </c>
      <c r="D165">
        <v>23300</v>
      </c>
      <c r="E165" t="s">
        <v>8</v>
      </c>
      <c r="F165" t="s">
        <v>9</v>
      </c>
    </row>
    <row r="166" spans="1:6" x14ac:dyDescent="0.25">
      <c r="A166">
        <v>165</v>
      </c>
      <c r="B166" t="s">
        <v>291</v>
      </c>
      <c r="C166" t="s">
        <v>492</v>
      </c>
      <c r="D166">
        <v>23500</v>
      </c>
      <c r="E166" t="s">
        <v>38</v>
      </c>
      <c r="F166" t="s">
        <v>9</v>
      </c>
    </row>
    <row r="167" spans="1:6" x14ac:dyDescent="0.25">
      <c r="A167">
        <v>166</v>
      </c>
      <c r="B167" t="s">
        <v>211</v>
      </c>
      <c r="C167" t="s">
        <v>494</v>
      </c>
      <c r="D167">
        <v>23500</v>
      </c>
      <c r="E167" t="s">
        <v>8</v>
      </c>
      <c r="F167" t="s">
        <v>9</v>
      </c>
    </row>
    <row r="168" spans="1:6" x14ac:dyDescent="0.25">
      <c r="A168">
        <v>167</v>
      </c>
      <c r="B168" t="s">
        <v>287</v>
      </c>
      <c r="C168" t="s">
        <v>487</v>
      </c>
      <c r="D168">
        <v>23700</v>
      </c>
      <c r="E168" t="s">
        <v>8</v>
      </c>
      <c r="F168" t="s">
        <v>9</v>
      </c>
    </row>
    <row r="169" spans="1:6" x14ac:dyDescent="0.25">
      <c r="A169">
        <v>168</v>
      </c>
      <c r="B169" t="s">
        <v>434</v>
      </c>
      <c r="C169" t="s">
        <v>488</v>
      </c>
      <c r="D169">
        <v>23700</v>
      </c>
      <c r="E169" t="s">
        <v>8</v>
      </c>
      <c r="F169" t="s">
        <v>9</v>
      </c>
    </row>
    <row r="170" spans="1:6" x14ac:dyDescent="0.25">
      <c r="A170">
        <v>169</v>
      </c>
      <c r="B170" t="s">
        <v>291</v>
      </c>
      <c r="C170" t="s">
        <v>483</v>
      </c>
      <c r="D170">
        <v>23700</v>
      </c>
      <c r="E170" t="s">
        <v>8</v>
      </c>
      <c r="F170" t="s">
        <v>9</v>
      </c>
    </row>
    <row r="171" spans="1:6" x14ac:dyDescent="0.25">
      <c r="A171">
        <v>170</v>
      </c>
      <c r="B171" t="s">
        <v>257</v>
      </c>
      <c r="C171" t="s">
        <v>493</v>
      </c>
      <c r="D171">
        <v>23800</v>
      </c>
      <c r="E171" t="s">
        <v>8</v>
      </c>
      <c r="F171" t="s">
        <v>9</v>
      </c>
    </row>
    <row r="172" spans="1:6" x14ac:dyDescent="0.25">
      <c r="A172">
        <v>171</v>
      </c>
      <c r="B172" t="s">
        <v>356</v>
      </c>
      <c r="C172" t="s">
        <v>491</v>
      </c>
      <c r="D172">
        <v>23900</v>
      </c>
      <c r="E172" t="s">
        <v>38</v>
      </c>
      <c r="F172" t="s">
        <v>20</v>
      </c>
    </row>
    <row r="173" spans="1:6" x14ac:dyDescent="0.25">
      <c r="A173">
        <v>172</v>
      </c>
      <c r="B173" t="s">
        <v>61</v>
      </c>
      <c r="C173" t="s">
        <v>488</v>
      </c>
      <c r="D173">
        <v>24100</v>
      </c>
      <c r="E173" t="s">
        <v>38</v>
      </c>
      <c r="F173" t="s">
        <v>20</v>
      </c>
    </row>
    <row r="174" spans="1:6" x14ac:dyDescent="0.25">
      <c r="A174">
        <v>173</v>
      </c>
      <c r="B174" t="s">
        <v>119</v>
      </c>
      <c r="C174" t="s">
        <v>494</v>
      </c>
      <c r="D174">
        <v>24100</v>
      </c>
      <c r="E174" t="s">
        <v>23</v>
      </c>
      <c r="F174" t="s">
        <v>9</v>
      </c>
    </row>
    <row r="175" spans="1:6" x14ac:dyDescent="0.25">
      <c r="A175">
        <v>174</v>
      </c>
      <c r="B175" t="s">
        <v>277</v>
      </c>
      <c r="C175" t="s">
        <v>484</v>
      </c>
      <c r="D175">
        <v>24300</v>
      </c>
      <c r="E175" t="s">
        <v>8</v>
      </c>
      <c r="F175" t="s">
        <v>9</v>
      </c>
    </row>
    <row r="176" spans="1:6" x14ac:dyDescent="0.25">
      <c r="A176">
        <v>175</v>
      </c>
      <c r="B176" t="s">
        <v>143</v>
      </c>
      <c r="C176" t="s">
        <v>486</v>
      </c>
      <c r="D176">
        <v>24300</v>
      </c>
      <c r="E176" t="s">
        <v>8</v>
      </c>
      <c r="F176" t="s">
        <v>9</v>
      </c>
    </row>
    <row r="177" spans="1:6" x14ac:dyDescent="0.25">
      <c r="A177">
        <v>176</v>
      </c>
      <c r="B177" t="s">
        <v>260</v>
      </c>
      <c r="C177" t="s">
        <v>485</v>
      </c>
      <c r="D177">
        <v>24400</v>
      </c>
      <c r="E177" t="s">
        <v>23</v>
      </c>
      <c r="F177" t="s">
        <v>9</v>
      </c>
    </row>
    <row r="178" spans="1:6" x14ac:dyDescent="0.25">
      <c r="A178">
        <v>177</v>
      </c>
      <c r="B178" t="s">
        <v>139</v>
      </c>
      <c r="C178" t="s">
        <v>494</v>
      </c>
      <c r="D178">
        <v>24400</v>
      </c>
      <c r="E178" t="s">
        <v>8</v>
      </c>
      <c r="F178" t="s">
        <v>9</v>
      </c>
    </row>
    <row r="179" spans="1:6" x14ac:dyDescent="0.25">
      <c r="A179">
        <v>178</v>
      </c>
      <c r="B179" t="s">
        <v>99</v>
      </c>
      <c r="C179" t="s">
        <v>486</v>
      </c>
      <c r="D179">
        <v>24600</v>
      </c>
      <c r="E179" t="s">
        <v>23</v>
      </c>
      <c r="F179" t="s">
        <v>9</v>
      </c>
    </row>
    <row r="180" spans="1:6" x14ac:dyDescent="0.25">
      <c r="A180">
        <v>179</v>
      </c>
      <c r="B180" t="s">
        <v>397</v>
      </c>
      <c r="C180" t="s">
        <v>488</v>
      </c>
      <c r="D180">
        <v>25000</v>
      </c>
      <c r="E180" t="s">
        <v>8</v>
      </c>
      <c r="F180" t="s">
        <v>9</v>
      </c>
    </row>
    <row r="181" spans="1:6" x14ac:dyDescent="0.25">
      <c r="A181">
        <v>180</v>
      </c>
      <c r="B181" t="s">
        <v>191</v>
      </c>
      <c r="C181" t="s">
        <v>486</v>
      </c>
      <c r="D181">
        <v>25000</v>
      </c>
      <c r="E181" t="s">
        <v>8</v>
      </c>
      <c r="F181" t="s">
        <v>9</v>
      </c>
    </row>
    <row r="182" spans="1:6" x14ac:dyDescent="0.25">
      <c r="A182">
        <v>181</v>
      </c>
      <c r="B182" t="s">
        <v>201</v>
      </c>
      <c r="C182" t="s">
        <v>483</v>
      </c>
      <c r="D182">
        <v>25200</v>
      </c>
      <c r="E182" t="s">
        <v>8</v>
      </c>
      <c r="F182" t="s">
        <v>9</v>
      </c>
    </row>
    <row r="183" spans="1:6" x14ac:dyDescent="0.25">
      <c r="A183">
        <v>182</v>
      </c>
      <c r="B183" t="s">
        <v>10</v>
      </c>
      <c r="C183" t="s">
        <v>492</v>
      </c>
      <c r="D183">
        <v>25300</v>
      </c>
      <c r="E183" t="s">
        <v>8</v>
      </c>
      <c r="F183" t="s">
        <v>9</v>
      </c>
    </row>
    <row r="184" spans="1:6" x14ac:dyDescent="0.25">
      <c r="A184">
        <v>183</v>
      </c>
      <c r="B184" t="s">
        <v>388</v>
      </c>
      <c r="C184" t="s">
        <v>494</v>
      </c>
      <c r="D184">
        <v>25400</v>
      </c>
      <c r="E184" t="s">
        <v>23</v>
      </c>
      <c r="F184" t="s">
        <v>9</v>
      </c>
    </row>
    <row r="185" spans="1:6" x14ac:dyDescent="0.25">
      <c r="A185">
        <v>184</v>
      </c>
      <c r="B185" t="s">
        <v>369</v>
      </c>
      <c r="C185" t="s">
        <v>494</v>
      </c>
      <c r="D185">
        <v>25600</v>
      </c>
      <c r="E185" t="s">
        <v>8</v>
      </c>
      <c r="F185" t="s">
        <v>20</v>
      </c>
    </row>
    <row r="186" spans="1:6" x14ac:dyDescent="0.25">
      <c r="A186">
        <v>185</v>
      </c>
      <c r="B186" t="s">
        <v>359</v>
      </c>
      <c r="C186" t="s">
        <v>483</v>
      </c>
      <c r="D186">
        <v>25600</v>
      </c>
      <c r="E186" t="s">
        <v>8</v>
      </c>
      <c r="F186" t="s">
        <v>9</v>
      </c>
    </row>
    <row r="187" spans="1:6" x14ac:dyDescent="0.25">
      <c r="A187">
        <v>186</v>
      </c>
      <c r="B187" t="s">
        <v>338</v>
      </c>
      <c r="C187" t="s">
        <v>492</v>
      </c>
      <c r="D187">
        <v>25800</v>
      </c>
      <c r="E187" t="s">
        <v>8</v>
      </c>
      <c r="F187" t="s">
        <v>9</v>
      </c>
    </row>
    <row r="188" spans="1:6" x14ac:dyDescent="0.25">
      <c r="A188">
        <v>187</v>
      </c>
      <c r="B188" t="s">
        <v>159</v>
      </c>
      <c r="C188" t="s">
        <v>493</v>
      </c>
      <c r="D188">
        <v>26100</v>
      </c>
      <c r="E188" t="s">
        <v>8</v>
      </c>
      <c r="F188" t="s">
        <v>9</v>
      </c>
    </row>
    <row r="189" spans="1:6" x14ac:dyDescent="0.25">
      <c r="A189">
        <v>188</v>
      </c>
      <c r="B189" t="s">
        <v>238</v>
      </c>
      <c r="C189" t="s">
        <v>487</v>
      </c>
      <c r="D189">
        <v>26100</v>
      </c>
      <c r="E189" t="s">
        <v>8</v>
      </c>
      <c r="F189" t="s">
        <v>9</v>
      </c>
    </row>
    <row r="190" spans="1:6" x14ac:dyDescent="0.25">
      <c r="A190">
        <v>189</v>
      </c>
      <c r="B190" t="s">
        <v>150</v>
      </c>
      <c r="C190" t="s">
        <v>487</v>
      </c>
      <c r="D190">
        <v>26600</v>
      </c>
      <c r="E190" t="s">
        <v>8</v>
      </c>
      <c r="F190" t="s">
        <v>20</v>
      </c>
    </row>
    <row r="191" spans="1:6" x14ac:dyDescent="0.25">
      <c r="A191">
        <v>190</v>
      </c>
      <c r="B191" t="s">
        <v>259</v>
      </c>
      <c r="C191" t="s">
        <v>484</v>
      </c>
      <c r="D191">
        <v>26700</v>
      </c>
      <c r="E191" t="s">
        <v>8</v>
      </c>
      <c r="F191" t="s">
        <v>20</v>
      </c>
    </row>
    <row r="192" spans="1:6" x14ac:dyDescent="0.25">
      <c r="A192">
        <v>191</v>
      </c>
      <c r="B192" t="s">
        <v>418</v>
      </c>
      <c r="C192" t="s">
        <v>488</v>
      </c>
      <c r="D192">
        <v>26700</v>
      </c>
      <c r="E192" t="s">
        <v>8</v>
      </c>
      <c r="F192" t="s">
        <v>9</v>
      </c>
    </row>
    <row r="193" spans="1:6" x14ac:dyDescent="0.25">
      <c r="A193">
        <v>192</v>
      </c>
      <c r="B193" t="s">
        <v>39</v>
      </c>
      <c r="C193" t="s">
        <v>487</v>
      </c>
      <c r="D193">
        <v>26800</v>
      </c>
      <c r="E193" t="s">
        <v>23</v>
      </c>
      <c r="F193" t="s">
        <v>9</v>
      </c>
    </row>
    <row r="194" spans="1:6" x14ac:dyDescent="0.25">
      <c r="A194">
        <v>193</v>
      </c>
      <c r="B194" t="s">
        <v>276</v>
      </c>
      <c r="C194" t="s">
        <v>494</v>
      </c>
      <c r="D194">
        <v>26800</v>
      </c>
      <c r="E194" t="s">
        <v>23</v>
      </c>
      <c r="F194" t="s">
        <v>9</v>
      </c>
    </row>
    <row r="195" spans="1:6" x14ac:dyDescent="0.25">
      <c r="A195">
        <v>194</v>
      </c>
      <c r="B195" t="s">
        <v>265</v>
      </c>
      <c r="C195" t="s">
        <v>484</v>
      </c>
      <c r="D195">
        <v>26900</v>
      </c>
      <c r="E195" t="s">
        <v>8</v>
      </c>
      <c r="F195" t="s">
        <v>9</v>
      </c>
    </row>
    <row r="196" spans="1:6" x14ac:dyDescent="0.25">
      <c r="A196">
        <v>195</v>
      </c>
      <c r="B196" t="s">
        <v>35</v>
      </c>
      <c r="C196" t="s">
        <v>483</v>
      </c>
      <c r="D196">
        <v>27000</v>
      </c>
      <c r="E196" t="s">
        <v>8</v>
      </c>
      <c r="F196" t="s">
        <v>9</v>
      </c>
    </row>
    <row r="197" spans="1:6" x14ac:dyDescent="0.25">
      <c r="A197">
        <v>196</v>
      </c>
      <c r="B197" t="s">
        <v>66</v>
      </c>
      <c r="C197" t="s">
        <v>486</v>
      </c>
      <c r="D197">
        <v>27000</v>
      </c>
      <c r="E197" t="s">
        <v>8</v>
      </c>
      <c r="F197" t="s">
        <v>9</v>
      </c>
    </row>
    <row r="198" spans="1:6" x14ac:dyDescent="0.25">
      <c r="A198">
        <v>197</v>
      </c>
      <c r="B198" t="s">
        <v>163</v>
      </c>
      <c r="C198" t="s">
        <v>486</v>
      </c>
      <c r="D198">
        <v>27300</v>
      </c>
      <c r="E198" t="s">
        <v>8</v>
      </c>
      <c r="F198" t="s">
        <v>9</v>
      </c>
    </row>
    <row r="199" spans="1:6" x14ac:dyDescent="0.25">
      <c r="A199">
        <v>198</v>
      </c>
      <c r="B199" t="s">
        <v>199</v>
      </c>
      <c r="C199" t="s">
        <v>494</v>
      </c>
      <c r="D199">
        <v>27300</v>
      </c>
      <c r="E199" t="s">
        <v>23</v>
      </c>
      <c r="F199" t="s">
        <v>9</v>
      </c>
    </row>
    <row r="200" spans="1:6" x14ac:dyDescent="0.25">
      <c r="A200">
        <v>199</v>
      </c>
      <c r="B200" t="s">
        <v>321</v>
      </c>
      <c r="C200" t="s">
        <v>484</v>
      </c>
      <c r="D200">
        <v>27300</v>
      </c>
      <c r="E200" t="s">
        <v>38</v>
      </c>
      <c r="F200" t="s">
        <v>20</v>
      </c>
    </row>
    <row r="201" spans="1:6" x14ac:dyDescent="0.25">
      <c r="A201">
        <v>200</v>
      </c>
      <c r="B201" t="s">
        <v>224</v>
      </c>
      <c r="C201" t="s">
        <v>491</v>
      </c>
      <c r="D201">
        <v>27400</v>
      </c>
      <c r="E201" t="s">
        <v>8</v>
      </c>
      <c r="F201" t="s">
        <v>9</v>
      </c>
    </row>
    <row r="202" spans="1:6" x14ac:dyDescent="0.25">
      <c r="A202">
        <v>201</v>
      </c>
      <c r="B202" t="s">
        <v>108</v>
      </c>
      <c r="C202" t="s">
        <v>486</v>
      </c>
      <c r="D202">
        <v>27400</v>
      </c>
      <c r="E202" t="s">
        <v>8</v>
      </c>
      <c r="F202" t="s">
        <v>9</v>
      </c>
    </row>
    <row r="203" spans="1:6" x14ac:dyDescent="0.25">
      <c r="A203">
        <v>202</v>
      </c>
      <c r="B203" t="s">
        <v>241</v>
      </c>
      <c r="C203" t="s">
        <v>491</v>
      </c>
      <c r="D203">
        <v>27500</v>
      </c>
      <c r="E203" t="s">
        <v>8</v>
      </c>
      <c r="F203" t="s">
        <v>9</v>
      </c>
    </row>
    <row r="204" spans="1:6" x14ac:dyDescent="0.25">
      <c r="A204">
        <v>203</v>
      </c>
      <c r="B204" t="s">
        <v>90</v>
      </c>
      <c r="C204" t="s">
        <v>488</v>
      </c>
      <c r="D204">
        <v>27500</v>
      </c>
      <c r="E204" t="s">
        <v>23</v>
      </c>
      <c r="F204" t="s">
        <v>9</v>
      </c>
    </row>
    <row r="205" spans="1:6" x14ac:dyDescent="0.25">
      <c r="A205">
        <v>204</v>
      </c>
      <c r="B205" t="s">
        <v>76</v>
      </c>
      <c r="C205" t="s">
        <v>485</v>
      </c>
      <c r="D205">
        <v>27700</v>
      </c>
      <c r="E205" t="s">
        <v>8</v>
      </c>
      <c r="F205" t="s">
        <v>9</v>
      </c>
    </row>
    <row r="206" spans="1:6" x14ac:dyDescent="0.25">
      <c r="A206">
        <v>205</v>
      </c>
      <c r="B206" t="s">
        <v>103</v>
      </c>
      <c r="C206" t="s">
        <v>490</v>
      </c>
      <c r="D206">
        <v>27800</v>
      </c>
      <c r="E206" t="s">
        <v>38</v>
      </c>
      <c r="F206" t="s">
        <v>20</v>
      </c>
    </row>
    <row r="207" spans="1:6" x14ac:dyDescent="0.25">
      <c r="A207">
        <v>206</v>
      </c>
      <c r="B207" t="s">
        <v>101</v>
      </c>
      <c r="C207" t="s">
        <v>493</v>
      </c>
      <c r="D207">
        <v>27800</v>
      </c>
      <c r="E207" t="s">
        <v>8</v>
      </c>
      <c r="F207" t="s">
        <v>9</v>
      </c>
    </row>
    <row r="208" spans="1:6" x14ac:dyDescent="0.25">
      <c r="A208">
        <v>207</v>
      </c>
      <c r="B208" t="s">
        <v>97</v>
      </c>
      <c r="C208" t="s">
        <v>486</v>
      </c>
      <c r="D208">
        <v>27900</v>
      </c>
      <c r="E208" t="s">
        <v>8</v>
      </c>
      <c r="F208" t="s">
        <v>9</v>
      </c>
    </row>
    <row r="209" spans="1:6" x14ac:dyDescent="0.25">
      <c r="A209">
        <v>208</v>
      </c>
      <c r="B209" t="s">
        <v>370</v>
      </c>
      <c r="C209" t="s">
        <v>485</v>
      </c>
      <c r="D209">
        <v>27900</v>
      </c>
      <c r="E209" t="s">
        <v>8</v>
      </c>
      <c r="F209" t="s">
        <v>9</v>
      </c>
    </row>
    <row r="210" spans="1:6" x14ac:dyDescent="0.25">
      <c r="A210">
        <v>209</v>
      </c>
      <c r="B210" t="s">
        <v>224</v>
      </c>
      <c r="C210" t="s">
        <v>493</v>
      </c>
      <c r="D210">
        <v>28100</v>
      </c>
      <c r="E210" t="s">
        <v>23</v>
      </c>
      <c r="F210" t="s">
        <v>9</v>
      </c>
    </row>
    <row r="211" spans="1:6" x14ac:dyDescent="0.25">
      <c r="A211">
        <v>210</v>
      </c>
      <c r="B211" t="s">
        <v>253</v>
      </c>
      <c r="C211" t="s">
        <v>487</v>
      </c>
      <c r="D211">
        <v>28100</v>
      </c>
      <c r="E211" t="s">
        <v>23</v>
      </c>
      <c r="F211" t="s">
        <v>9</v>
      </c>
    </row>
    <row r="212" spans="1:6" x14ac:dyDescent="0.25">
      <c r="A212">
        <v>211</v>
      </c>
      <c r="B212" t="s">
        <v>272</v>
      </c>
      <c r="C212" t="s">
        <v>486</v>
      </c>
      <c r="D212">
        <v>28200</v>
      </c>
      <c r="E212" t="s">
        <v>38</v>
      </c>
      <c r="F212" t="s">
        <v>9</v>
      </c>
    </row>
    <row r="213" spans="1:6" x14ac:dyDescent="0.25">
      <c r="A213">
        <v>212</v>
      </c>
      <c r="B213" t="s">
        <v>312</v>
      </c>
      <c r="C213" t="s">
        <v>483</v>
      </c>
      <c r="D213">
        <v>29100</v>
      </c>
      <c r="E213" t="s">
        <v>8</v>
      </c>
      <c r="F213" t="s">
        <v>9</v>
      </c>
    </row>
    <row r="214" spans="1:6" x14ac:dyDescent="0.25">
      <c r="A214">
        <v>213</v>
      </c>
      <c r="B214" t="s">
        <v>342</v>
      </c>
      <c r="C214" t="s">
        <v>490</v>
      </c>
      <c r="D214">
        <v>29200</v>
      </c>
      <c r="E214" t="s">
        <v>38</v>
      </c>
      <c r="F214" t="s">
        <v>20</v>
      </c>
    </row>
    <row r="215" spans="1:6" x14ac:dyDescent="0.25">
      <c r="A215">
        <v>214</v>
      </c>
      <c r="B215" t="s">
        <v>286</v>
      </c>
      <c r="C215" t="s">
        <v>493</v>
      </c>
      <c r="D215">
        <v>29300</v>
      </c>
      <c r="E215" t="s">
        <v>8</v>
      </c>
      <c r="F215" t="s">
        <v>9</v>
      </c>
    </row>
    <row r="216" spans="1:6" x14ac:dyDescent="0.25">
      <c r="A216">
        <v>215</v>
      </c>
      <c r="B216" t="s">
        <v>171</v>
      </c>
      <c r="C216" t="s">
        <v>489</v>
      </c>
      <c r="D216">
        <v>29500</v>
      </c>
      <c r="E216" t="s">
        <v>23</v>
      </c>
      <c r="F216" t="s">
        <v>9</v>
      </c>
    </row>
    <row r="217" spans="1:6" x14ac:dyDescent="0.25">
      <c r="A217">
        <v>216</v>
      </c>
      <c r="B217" t="s">
        <v>250</v>
      </c>
      <c r="C217" t="s">
        <v>484</v>
      </c>
      <c r="D217">
        <v>29500</v>
      </c>
      <c r="E217" t="s">
        <v>38</v>
      </c>
      <c r="F217" t="s">
        <v>20</v>
      </c>
    </row>
    <row r="218" spans="1:6" x14ac:dyDescent="0.25">
      <c r="A218">
        <v>217</v>
      </c>
      <c r="B218" t="s">
        <v>191</v>
      </c>
      <c r="C218" t="s">
        <v>491</v>
      </c>
      <c r="D218">
        <v>29700</v>
      </c>
      <c r="E218" t="s">
        <v>38</v>
      </c>
      <c r="F218" t="s">
        <v>20</v>
      </c>
    </row>
    <row r="219" spans="1:6" x14ac:dyDescent="0.25">
      <c r="A219">
        <v>218</v>
      </c>
      <c r="B219" t="s">
        <v>205</v>
      </c>
      <c r="C219" t="s">
        <v>489</v>
      </c>
      <c r="D219">
        <v>29800</v>
      </c>
      <c r="E219" t="s">
        <v>38</v>
      </c>
      <c r="F219" t="s">
        <v>20</v>
      </c>
    </row>
    <row r="220" spans="1:6" x14ac:dyDescent="0.25">
      <c r="A220">
        <v>219</v>
      </c>
      <c r="B220" t="s">
        <v>71</v>
      </c>
      <c r="C220" t="s">
        <v>488</v>
      </c>
      <c r="D220">
        <v>29800</v>
      </c>
      <c r="E220" t="s">
        <v>8</v>
      </c>
      <c r="F220" t="s">
        <v>9</v>
      </c>
    </row>
    <row r="221" spans="1:6" x14ac:dyDescent="0.25">
      <c r="A221">
        <v>220</v>
      </c>
      <c r="B221" t="s">
        <v>351</v>
      </c>
      <c r="C221" t="s">
        <v>492</v>
      </c>
      <c r="D221">
        <v>30400</v>
      </c>
      <c r="E221" t="s">
        <v>8</v>
      </c>
      <c r="F221" t="s">
        <v>9</v>
      </c>
    </row>
    <row r="222" spans="1:6" x14ac:dyDescent="0.25">
      <c r="A222">
        <v>221</v>
      </c>
      <c r="B222" t="s">
        <v>343</v>
      </c>
      <c r="C222" t="s">
        <v>484</v>
      </c>
      <c r="D222">
        <v>30400</v>
      </c>
      <c r="E222" t="s">
        <v>8</v>
      </c>
      <c r="F222" t="s">
        <v>9</v>
      </c>
    </row>
    <row r="223" spans="1:6" x14ac:dyDescent="0.25">
      <c r="A223">
        <v>222</v>
      </c>
      <c r="B223" t="s">
        <v>255</v>
      </c>
      <c r="C223" t="s">
        <v>486</v>
      </c>
      <c r="D223">
        <v>30600</v>
      </c>
      <c r="E223" t="s">
        <v>38</v>
      </c>
      <c r="F223" t="s">
        <v>20</v>
      </c>
    </row>
    <row r="224" spans="1:6" x14ac:dyDescent="0.25">
      <c r="A224">
        <v>223</v>
      </c>
      <c r="B224" t="s">
        <v>258</v>
      </c>
      <c r="C224" t="s">
        <v>483</v>
      </c>
      <c r="D224">
        <v>30700</v>
      </c>
      <c r="E224" t="s">
        <v>8</v>
      </c>
      <c r="F224" t="s">
        <v>9</v>
      </c>
    </row>
    <row r="225" spans="1:6" x14ac:dyDescent="0.25">
      <c r="A225">
        <v>224</v>
      </c>
      <c r="B225" t="s">
        <v>85</v>
      </c>
      <c r="C225" t="s">
        <v>483</v>
      </c>
      <c r="D225">
        <v>30900</v>
      </c>
      <c r="E225" t="s">
        <v>8</v>
      </c>
      <c r="F225" t="s">
        <v>9</v>
      </c>
    </row>
    <row r="226" spans="1:6" x14ac:dyDescent="0.25">
      <c r="A226">
        <v>225</v>
      </c>
      <c r="B226" t="s">
        <v>238</v>
      </c>
      <c r="C226" t="s">
        <v>484</v>
      </c>
      <c r="D226">
        <v>31300</v>
      </c>
      <c r="E226" t="s">
        <v>8</v>
      </c>
      <c r="F226" t="s">
        <v>9</v>
      </c>
    </row>
    <row r="227" spans="1:6" x14ac:dyDescent="0.25">
      <c r="A227">
        <v>226</v>
      </c>
      <c r="B227" t="s">
        <v>223</v>
      </c>
      <c r="C227" t="s">
        <v>494</v>
      </c>
      <c r="D227">
        <v>31300</v>
      </c>
      <c r="E227" t="s">
        <v>8</v>
      </c>
      <c r="F227" t="s">
        <v>9</v>
      </c>
    </row>
    <row r="228" spans="1:6" x14ac:dyDescent="0.25">
      <c r="A228">
        <v>227</v>
      </c>
      <c r="B228" t="s">
        <v>313</v>
      </c>
      <c r="C228" t="s">
        <v>489</v>
      </c>
      <c r="D228">
        <v>31300</v>
      </c>
      <c r="E228" t="s">
        <v>8</v>
      </c>
      <c r="F228" t="s">
        <v>9</v>
      </c>
    </row>
    <row r="229" spans="1:6" x14ac:dyDescent="0.25">
      <c r="A229">
        <v>228</v>
      </c>
      <c r="B229" t="s">
        <v>167</v>
      </c>
      <c r="C229" t="s">
        <v>492</v>
      </c>
      <c r="D229">
        <v>31400</v>
      </c>
      <c r="E229" t="s">
        <v>23</v>
      </c>
      <c r="F229" t="s">
        <v>20</v>
      </c>
    </row>
    <row r="230" spans="1:6" x14ac:dyDescent="0.25">
      <c r="A230">
        <v>229</v>
      </c>
      <c r="B230" t="s">
        <v>199</v>
      </c>
      <c r="C230" t="s">
        <v>486</v>
      </c>
      <c r="D230">
        <v>31700</v>
      </c>
      <c r="E230" t="s">
        <v>8</v>
      </c>
      <c r="F230" t="s">
        <v>9</v>
      </c>
    </row>
    <row r="231" spans="1:6" x14ac:dyDescent="0.25">
      <c r="A231">
        <v>230</v>
      </c>
      <c r="B231" t="s">
        <v>46</v>
      </c>
      <c r="C231" t="s">
        <v>488</v>
      </c>
      <c r="D231">
        <v>31800</v>
      </c>
      <c r="E231" t="s">
        <v>8</v>
      </c>
      <c r="F231" t="s">
        <v>9</v>
      </c>
    </row>
    <row r="232" spans="1:6" x14ac:dyDescent="0.25">
      <c r="A232">
        <v>231</v>
      </c>
      <c r="B232" t="s">
        <v>236</v>
      </c>
      <c r="C232" t="s">
        <v>486</v>
      </c>
      <c r="D232">
        <v>31900</v>
      </c>
      <c r="E232" t="s">
        <v>23</v>
      </c>
      <c r="F232" t="s">
        <v>9</v>
      </c>
    </row>
    <row r="233" spans="1:6" x14ac:dyDescent="0.25">
      <c r="A233">
        <v>232</v>
      </c>
      <c r="B233" t="s">
        <v>181</v>
      </c>
      <c r="C233" t="s">
        <v>486</v>
      </c>
      <c r="D233">
        <v>32200</v>
      </c>
      <c r="E233" t="s">
        <v>8</v>
      </c>
      <c r="F233" t="s">
        <v>9</v>
      </c>
    </row>
    <row r="234" spans="1:6" x14ac:dyDescent="0.25">
      <c r="A234">
        <v>233</v>
      </c>
      <c r="B234" t="s">
        <v>331</v>
      </c>
      <c r="C234" t="s">
        <v>486</v>
      </c>
      <c r="D234">
        <v>32400</v>
      </c>
      <c r="E234" t="s">
        <v>38</v>
      </c>
      <c r="F234" t="s">
        <v>20</v>
      </c>
    </row>
    <row r="235" spans="1:6" x14ac:dyDescent="0.25">
      <c r="A235">
        <v>234</v>
      </c>
      <c r="B235" t="s">
        <v>233</v>
      </c>
      <c r="C235" t="s">
        <v>492</v>
      </c>
      <c r="D235">
        <v>32500</v>
      </c>
      <c r="E235" t="s">
        <v>38</v>
      </c>
      <c r="F235" t="s">
        <v>20</v>
      </c>
    </row>
    <row r="236" spans="1:6" x14ac:dyDescent="0.25">
      <c r="A236">
        <v>235</v>
      </c>
      <c r="B236" t="s">
        <v>272</v>
      </c>
      <c r="C236" t="s">
        <v>487</v>
      </c>
      <c r="D236">
        <v>32600</v>
      </c>
      <c r="E236" t="s">
        <v>38</v>
      </c>
      <c r="F236" t="s">
        <v>20</v>
      </c>
    </row>
    <row r="237" spans="1:6" x14ac:dyDescent="0.25">
      <c r="A237">
        <v>236</v>
      </c>
      <c r="B237" t="s">
        <v>139</v>
      </c>
      <c r="C237" t="s">
        <v>490</v>
      </c>
      <c r="D237">
        <v>32900</v>
      </c>
      <c r="E237" t="s">
        <v>8</v>
      </c>
      <c r="F237" t="s">
        <v>9</v>
      </c>
    </row>
    <row r="238" spans="1:6" x14ac:dyDescent="0.25">
      <c r="A238">
        <v>237</v>
      </c>
      <c r="B238" t="s">
        <v>146</v>
      </c>
      <c r="C238" t="s">
        <v>487</v>
      </c>
      <c r="D238">
        <v>32900</v>
      </c>
      <c r="E238" t="s">
        <v>8</v>
      </c>
      <c r="F238" t="s">
        <v>9</v>
      </c>
    </row>
    <row r="239" spans="1:6" x14ac:dyDescent="0.25">
      <c r="A239">
        <v>238</v>
      </c>
      <c r="B239" t="s">
        <v>325</v>
      </c>
      <c r="C239" t="s">
        <v>493</v>
      </c>
      <c r="D239">
        <v>32900</v>
      </c>
      <c r="E239" t="s">
        <v>23</v>
      </c>
      <c r="F239" t="s">
        <v>9</v>
      </c>
    </row>
    <row r="240" spans="1:6" x14ac:dyDescent="0.25">
      <c r="A240">
        <v>239</v>
      </c>
      <c r="B240" t="s">
        <v>86</v>
      </c>
      <c r="C240" t="s">
        <v>486</v>
      </c>
      <c r="D240">
        <v>33000</v>
      </c>
      <c r="E240" t="s">
        <v>8</v>
      </c>
      <c r="F240" t="s">
        <v>9</v>
      </c>
    </row>
    <row r="241" spans="1:6" x14ac:dyDescent="0.25">
      <c r="A241">
        <v>240</v>
      </c>
      <c r="B241" t="s">
        <v>369</v>
      </c>
      <c r="C241" t="s">
        <v>488</v>
      </c>
      <c r="D241">
        <v>33000</v>
      </c>
      <c r="E241" t="s">
        <v>8</v>
      </c>
      <c r="F241" t="s">
        <v>9</v>
      </c>
    </row>
    <row r="242" spans="1:6" x14ac:dyDescent="0.25">
      <c r="A242">
        <v>241</v>
      </c>
      <c r="B242" t="s">
        <v>63</v>
      </c>
      <c r="C242" t="s">
        <v>486</v>
      </c>
      <c r="D242">
        <v>33300</v>
      </c>
      <c r="E242" t="s">
        <v>23</v>
      </c>
      <c r="F242" t="s">
        <v>9</v>
      </c>
    </row>
    <row r="243" spans="1:6" x14ac:dyDescent="0.25">
      <c r="A243">
        <v>242</v>
      </c>
      <c r="B243" t="s">
        <v>106</v>
      </c>
      <c r="C243" t="s">
        <v>488</v>
      </c>
      <c r="D243">
        <v>33300</v>
      </c>
      <c r="E243" t="s">
        <v>8</v>
      </c>
      <c r="F243" t="s">
        <v>9</v>
      </c>
    </row>
    <row r="244" spans="1:6" x14ac:dyDescent="0.25">
      <c r="A244">
        <v>243</v>
      </c>
      <c r="B244" t="s">
        <v>90</v>
      </c>
      <c r="C244" t="s">
        <v>487</v>
      </c>
      <c r="D244">
        <v>33700</v>
      </c>
      <c r="E244" t="s">
        <v>23</v>
      </c>
      <c r="F244" t="s">
        <v>9</v>
      </c>
    </row>
    <row r="245" spans="1:6" x14ac:dyDescent="0.25">
      <c r="A245">
        <v>244</v>
      </c>
      <c r="B245" t="s">
        <v>271</v>
      </c>
      <c r="C245" t="s">
        <v>493</v>
      </c>
      <c r="D245">
        <v>34000</v>
      </c>
      <c r="E245" t="s">
        <v>8</v>
      </c>
      <c r="F245" t="s">
        <v>9</v>
      </c>
    </row>
    <row r="246" spans="1:6" x14ac:dyDescent="0.25">
      <c r="A246">
        <v>245</v>
      </c>
      <c r="B246" t="s">
        <v>127</v>
      </c>
      <c r="C246" t="s">
        <v>488</v>
      </c>
      <c r="D246">
        <v>34100</v>
      </c>
      <c r="E246" t="s">
        <v>8</v>
      </c>
      <c r="F246" t="s">
        <v>9</v>
      </c>
    </row>
    <row r="247" spans="1:6" x14ac:dyDescent="0.25">
      <c r="A247">
        <v>246</v>
      </c>
      <c r="B247" t="s">
        <v>290</v>
      </c>
      <c r="C247" t="s">
        <v>487</v>
      </c>
      <c r="D247">
        <v>34100</v>
      </c>
      <c r="E247" t="s">
        <v>8</v>
      </c>
      <c r="F247" t="s">
        <v>9</v>
      </c>
    </row>
    <row r="248" spans="1:6" x14ac:dyDescent="0.25">
      <c r="A248">
        <v>247</v>
      </c>
      <c r="B248" t="s">
        <v>127</v>
      </c>
      <c r="C248" t="s">
        <v>487</v>
      </c>
      <c r="D248">
        <v>34100</v>
      </c>
      <c r="E248" t="s">
        <v>23</v>
      </c>
      <c r="F248" t="s">
        <v>9</v>
      </c>
    </row>
    <row r="249" spans="1:6" x14ac:dyDescent="0.25">
      <c r="A249">
        <v>248</v>
      </c>
      <c r="B249" t="s">
        <v>36</v>
      </c>
      <c r="C249" t="s">
        <v>484</v>
      </c>
      <c r="D249">
        <v>34400</v>
      </c>
      <c r="E249" t="s">
        <v>23</v>
      </c>
      <c r="F249" t="s">
        <v>20</v>
      </c>
    </row>
    <row r="250" spans="1:6" x14ac:dyDescent="0.25">
      <c r="A250">
        <v>249</v>
      </c>
      <c r="B250" t="s">
        <v>272</v>
      </c>
      <c r="C250" t="s">
        <v>489</v>
      </c>
      <c r="D250">
        <v>34500</v>
      </c>
      <c r="E250" t="s">
        <v>8</v>
      </c>
      <c r="F250" t="s">
        <v>9</v>
      </c>
    </row>
    <row r="251" spans="1:6" x14ac:dyDescent="0.25">
      <c r="A251">
        <v>250</v>
      </c>
      <c r="B251" t="s">
        <v>118</v>
      </c>
      <c r="C251" t="s">
        <v>483</v>
      </c>
      <c r="D251">
        <v>34800</v>
      </c>
      <c r="E251" t="s">
        <v>8</v>
      </c>
      <c r="F251" t="s">
        <v>9</v>
      </c>
    </row>
    <row r="252" spans="1:6" x14ac:dyDescent="0.25">
      <c r="A252">
        <v>251</v>
      </c>
      <c r="B252" t="s">
        <v>389</v>
      </c>
      <c r="C252" t="s">
        <v>485</v>
      </c>
      <c r="D252">
        <v>34800</v>
      </c>
      <c r="E252" t="s">
        <v>8</v>
      </c>
      <c r="F252" t="s">
        <v>9</v>
      </c>
    </row>
    <row r="253" spans="1:6" x14ac:dyDescent="0.25">
      <c r="A253">
        <v>252</v>
      </c>
      <c r="B253" t="s">
        <v>143</v>
      </c>
      <c r="C253" t="s">
        <v>493</v>
      </c>
      <c r="D253">
        <v>35000</v>
      </c>
      <c r="E253" t="s">
        <v>38</v>
      </c>
      <c r="F253" t="s">
        <v>20</v>
      </c>
    </row>
    <row r="254" spans="1:6" x14ac:dyDescent="0.25">
      <c r="A254">
        <v>253</v>
      </c>
      <c r="B254" t="s">
        <v>271</v>
      </c>
      <c r="C254" t="s">
        <v>490</v>
      </c>
      <c r="D254">
        <v>35300</v>
      </c>
      <c r="E254" t="s">
        <v>38</v>
      </c>
      <c r="F254" t="s">
        <v>20</v>
      </c>
    </row>
    <row r="255" spans="1:6" x14ac:dyDescent="0.25">
      <c r="A255">
        <v>254</v>
      </c>
      <c r="B255" t="s">
        <v>151</v>
      </c>
      <c r="C255" t="s">
        <v>484</v>
      </c>
      <c r="D255">
        <v>35500</v>
      </c>
      <c r="E255" t="s">
        <v>8</v>
      </c>
      <c r="F255" t="s">
        <v>9</v>
      </c>
    </row>
    <row r="256" spans="1:6" x14ac:dyDescent="0.25">
      <c r="A256">
        <v>255</v>
      </c>
      <c r="B256" t="s">
        <v>402</v>
      </c>
      <c r="C256" t="s">
        <v>492</v>
      </c>
      <c r="D256">
        <v>35600</v>
      </c>
      <c r="E256" t="s">
        <v>38</v>
      </c>
      <c r="F256" t="s">
        <v>20</v>
      </c>
    </row>
    <row r="257" spans="1:6" x14ac:dyDescent="0.25">
      <c r="A257">
        <v>256</v>
      </c>
      <c r="B257" t="s">
        <v>307</v>
      </c>
      <c r="C257" t="s">
        <v>486</v>
      </c>
      <c r="D257">
        <v>35900</v>
      </c>
      <c r="E257" t="s">
        <v>8</v>
      </c>
      <c r="F257" t="s">
        <v>9</v>
      </c>
    </row>
    <row r="258" spans="1:6" x14ac:dyDescent="0.25">
      <c r="A258">
        <v>257</v>
      </c>
      <c r="B258" t="s">
        <v>169</v>
      </c>
      <c r="C258" t="s">
        <v>491</v>
      </c>
      <c r="D258">
        <v>35900</v>
      </c>
      <c r="E258" t="s">
        <v>38</v>
      </c>
      <c r="F258" t="s">
        <v>20</v>
      </c>
    </row>
    <row r="259" spans="1:6" x14ac:dyDescent="0.25">
      <c r="A259">
        <v>258</v>
      </c>
      <c r="B259" t="s">
        <v>225</v>
      </c>
      <c r="C259" t="s">
        <v>485</v>
      </c>
      <c r="D259">
        <v>36000</v>
      </c>
      <c r="E259" t="s">
        <v>8</v>
      </c>
      <c r="F259" t="s">
        <v>20</v>
      </c>
    </row>
    <row r="260" spans="1:6" x14ac:dyDescent="0.25">
      <c r="A260">
        <v>259</v>
      </c>
      <c r="B260" t="s">
        <v>292</v>
      </c>
      <c r="C260" t="s">
        <v>488</v>
      </c>
      <c r="D260">
        <v>37200</v>
      </c>
      <c r="E260" t="s">
        <v>8</v>
      </c>
      <c r="F260" t="s">
        <v>9</v>
      </c>
    </row>
    <row r="261" spans="1:6" x14ac:dyDescent="0.25">
      <c r="A261">
        <v>260</v>
      </c>
      <c r="B261" t="s">
        <v>79</v>
      </c>
      <c r="C261" t="s">
        <v>490</v>
      </c>
      <c r="D261">
        <v>37300</v>
      </c>
      <c r="E261" t="s">
        <v>8</v>
      </c>
      <c r="F261" t="s">
        <v>9</v>
      </c>
    </row>
    <row r="262" spans="1:6" x14ac:dyDescent="0.25">
      <c r="A262">
        <v>261</v>
      </c>
      <c r="B262" t="s">
        <v>248</v>
      </c>
      <c r="C262" t="s">
        <v>483</v>
      </c>
      <c r="D262">
        <v>37500</v>
      </c>
      <c r="E262" t="s">
        <v>38</v>
      </c>
      <c r="F262" t="s">
        <v>9</v>
      </c>
    </row>
    <row r="263" spans="1:6" x14ac:dyDescent="0.25">
      <c r="A263">
        <v>262</v>
      </c>
      <c r="B263" t="s">
        <v>330</v>
      </c>
      <c r="C263" t="s">
        <v>489</v>
      </c>
      <c r="D263">
        <v>37900</v>
      </c>
      <c r="E263" t="s">
        <v>8</v>
      </c>
      <c r="F263" t="s">
        <v>9</v>
      </c>
    </row>
    <row r="264" spans="1:6" x14ac:dyDescent="0.25">
      <c r="A264">
        <v>263</v>
      </c>
      <c r="B264" t="s">
        <v>235</v>
      </c>
      <c r="C264" t="s">
        <v>494</v>
      </c>
      <c r="D264">
        <v>37900</v>
      </c>
      <c r="E264" t="s">
        <v>8</v>
      </c>
      <c r="F264" t="s">
        <v>20</v>
      </c>
    </row>
    <row r="265" spans="1:6" x14ac:dyDescent="0.25">
      <c r="A265">
        <v>264</v>
      </c>
      <c r="B265" t="s">
        <v>364</v>
      </c>
      <c r="C265" t="s">
        <v>490</v>
      </c>
      <c r="D265">
        <v>38400</v>
      </c>
      <c r="E265" t="s">
        <v>23</v>
      </c>
      <c r="F265" t="s">
        <v>9</v>
      </c>
    </row>
    <row r="266" spans="1:6" x14ac:dyDescent="0.25">
      <c r="A266">
        <v>265</v>
      </c>
      <c r="B266" t="s">
        <v>14</v>
      </c>
      <c r="C266" t="s">
        <v>483</v>
      </c>
      <c r="D266">
        <v>38800</v>
      </c>
      <c r="E266" t="s">
        <v>8</v>
      </c>
      <c r="F266" t="s">
        <v>9</v>
      </c>
    </row>
    <row r="267" spans="1:6" x14ac:dyDescent="0.25">
      <c r="A267">
        <v>266</v>
      </c>
      <c r="B267" t="s">
        <v>98</v>
      </c>
      <c r="C267" t="s">
        <v>484</v>
      </c>
      <c r="D267">
        <v>39000</v>
      </c>
      <c r="E267" t="s">
        <v>8</v>
      </c>
      <c r="F267" t="s">
        <v>9</v>
      </c>
    </row>
    <row r="268" spans="1:6" x14ac:dyDescent="0.25">
      <c r="A268">
        <v>267</v>
      </c>
      <c r="B268" t="s">
        <v>338</v>
      </c>
      <c r="C268" t="s">
        <v>484</v>
      </c>
      <c r="D268">
        <v>39100</v>
      </c>
      <c r="E268" t="s">
        <v>8</v>
      </c>
      <c r="F268" t="s">
        <v>20</v>
      </c>
    </row>
    <row r="269" spans="1:6" x14ac:dyDescent="0.25">
      <c r="A269">
        <v>268</v>
      </c>
      <c r="B269" t="s">
        <v>367</v>
      </c>
      <c r="C269" t="s">
        <v>485</v>
      </c>
      <c r="D269">
        <v>39200</v>
      </c>
      <c r="E269" t="s">
        <v>8</v>
      </c>
      <c r="F269" t="s">
        <v>9</v>
      </c>
    </row>
    <row r="270" spans="1:6" x14ac:dyDescent="0.25">
      <c r="A270">
        <v>269</v>
      </c>
      <c r="B270" t="s">
        <v>291</v>
      </c>
      <c r="C270" t="s">
        <v>494</v>
      </c>
      <c r="D270">
        <v>39200</v>
      </c>
      <c r="E270" t="s">
        <v>23</v>
      </c>
      <c r="F270" t="s">
        <v>9</v>
      </c>
    </row>
    <row r="271" spans="1:6" x14ac:dyDescent="0.25">
      <c r="A271">
        <v>270</v>
      </c>
      <c r="B271" t="s">
        <v>173</v>
      </c>
      <c r="C271" t="s">
        <v>489</v>
      </c>
      <c r="D271">
        <v>39200</v>
      </c>
      <c r="E271" t="s">
        <v>8</v>
      </c>
      <c r="F271" t="s">
        <v>9</v>
      </c>
    </row>
    <row r="272" spans="1:6" x14ac:dyDescent="0.25">
      <c r="A272">
        <v>271</v>
      </c>
      <c r="B272" t="s">
        <v>183</v>
      </c>
      <c r="C272" t="s">
        <v>490</v>
      </c>
      <c r="D272">
        <v>39300</v>
      </c>
      <c r="E272" t="s">
        <v>38</v>
      </c>
      <c r="F272" t="s">
        <v>20</v>
      </c>
    </row>
    <row r="273" spans="1:6" x14ac:dyDescent="0.25">
      <c r="A273">
        <v>272</v>
      </c>
      <c r="B273" t="s">
        <v>74</v>
      </c>
      <c r="C273" t="s">
        <v>493</v>
      </c>
      <c r="D273">
        <v>39400</v>
      </c>
      <c r="E273" t="s">
        <v>23</v>
      </c>
      <c r="F273" t="s">
        <v>9</v>
      </c>
    </row>
    <row r="274" spans="1:6" x14ac:dyDescent="0.25">
      <c r="A274">
        <v>273</v>
      </c>
      <c r="B274" t="s">
        <v>101</v>
      </c>
      <c r="C274" t="s">
        <v>485</v>
      </c>
      <c r="D274">
        <v>39500</v>
      </c>
      <c r="E274" t="s">
        <v>38</v>
      </c>
      <c r="F274" t="s">
        <v>20</v>
      </c>
    </row>
    <row r="275" spans="1:6" x14ac:dyDescent="0.25">
      <c r="A275">
        <v>274</v>
      </c>
      <c r="B275" t="s">
        <v>170</v>
      </c>
      <c r="C275" t="s">
        <v>494</v>
      </c>
      <c r="D275">
        <v>39700</v>
      </c>
      <c r="E275" t="s">
        <v>8</v>
      </c>
      <c r="F275" t="s">
        <v>9</v>
      </c>
    </row>
    <row r="276" spans="1:6" x14ac:dyDescent="0.25">
      <c r="A276">
        <v>275</v>
      </c>
      <c r="B276" t="s">
        <v>310</v>
      </c>
      <c r="C276" t="s">
        <v>493</v>
      </c>
      <c r="D276">
        <v>40000</v>
      </c>
      <c r="E276" t="s">
        <v>8</v>
      </c>
      <c r="F276" t="s">
        <v>9</v>
      </c>
    </row>
    <row r="277" spans="1:6" x14ac:dyDescent="0.25">
      <c r="A277">
        <v>276</v>
      </c>
      <c r="B277" t="s">
        <v>264</v>
      </c>
      <c r="C277" t="s">
        <v>493</v>
      </c>
      <c r="D277">
        <v>40100</v>
      </c>
      <c r="E277" t="s">
        <v>8</v>
      </c>
      <c r="F277" t="s">
        <v>9</v>
      </c>
    </row>
    <row r="278" spans="1:6" x14ac:dyDescent="0.25">
      <c r="A278">
        <v>277</v>
      </c>
      <c r="B278" t="s">
        <v>309</v>
      </c>
      <c r="C278" t="s">
        <v>489</v>
      </c>
      <c r="D278">
        <v>40100</v>
      </c>
      <c r="E278" t="s">
        <v>8</v>
      </c>
      <c r="F278" t="s">
        <v>9</v>
      </c>
    </row>
    <row r="279" spans="1:6" x14ac:dyDescent="0.25">
      <c r="A279">
        <v>278</v>
      </c>
      <c r="B279" t="s">
        <v>104</v>
      </c>
      <c r="C279" t="s">
        <v>493</v>
      </c>
      <c r="D279">
        <v>40200</v>
      </c>
      <c r="E279" t="s">
        <v>8</v>
      </c>
      <c r="F279" t="s">
        <v>9</v>
      </c>
    </row>
    <row r="280" spans="1:6" x14ac:dyDescent="0.25">
      <c r="A280">
        <v>279</v>
      </c>
      <c r="B280" t="s">
        <v>335</v>
      </c>
      <c r="C280" t="s">
        <v>489</v>
      </c>
      <c r="D280">
        <v>40200</v>
      </c>
      <c r="E280" t="s">
        <v>8</v>
      </c>
      <c r="F280" t="s">
        <v>9</v>
      </c>
    </row>
    <row r="281" spans="1:6" x14ac:dyDescent="0.25">
      <c r="A281">
        <v>280</v>
      </c>
      <c r="B281" t="s">
        <v>210</v>
      </c>
      <c r="C281" t="s">
        <v>494</v>
      </c>
      <c r="D281">
        <v>40300</v>
      </c>
      <c r="E281" t="s">
        <v>23</v>
      </c>
      <c r="F281" t="s">
        <v>9</v>
      </c>
    </row>
    <row r="282" spans="1:6" x14ac:dyDescent="0.25">
      <c r="A282">
        <v>281</v>
      </c>
      <c r="B282" t="s">
        <v>321</v>
      </c>
      <c r="C282" t="s">
        <v>490</v>
      </c>
      <c r="D282">
        <v>40800</v>
      </c>
      <c r="E282" t="s">
        <v>38</v>
      </c>
      <c r="F282" t="s">
        <v>9</v>
      </c>
    </row>
    <row r="283" spans="1:6" x14ac:dyDescent="0.25">
      <c r="A283">
        <v>282</v>
      </c>
      <c r="B283" t="s">
        <v>152</v>
      </c>
      <c r="C283" t="s">
        <v>493</v>
      </c>
      <c r="D283">
        <v>41200</v>
      </c>
      <c r="E283" t="s">
        <v>8</v>
      </c>
      <c r="F283" t="s">
        <v>9</v>
      </c>
    </row>
    <row r="284" spans="1:6" x14ac:dyDescent="0.25">
      <c r="A284">
        <v>283</v>
      </c>
      <c r="B284" t="s">
        <v>238</v>
      </c>
      <c r="C284" t="s">
        <v>491</v>
      </c>
      <c r="D284">
        <v>41200</v>
      </c>
      <c r="E284" t="s">
        <v>23</v>
      </c>
      <c r="F284" t="s">
        <v>9</v>
      </c>
    </row>
    <row r="285" spans="1:6" x14ac:dyDescent="0.25">
      <c r="A285">
        <v>284</v>
      </c>
      <c r="B285" t="s">
        <v>354</v>
      </c>
      <c r="C285" t="s">
        <v>494</v>
      </c>
      <c r="D285">
        <v>41300</v>
      </c>
      <c r="E285" t="s">
        <v>23</v>
      </c>
      <c r="F285" t="s">
        <v>9</v>
      </c>
    </row>
    <row r="286" spans="1:6" x14ac:dyDescent="0.25">
      <c r="A286">
        <v>285</v>
      </c>
      <c r="B286" t="s">
        <v>211</v>
      </c>
      <c r="C286" t="s">
        <v>484</v>
      </c>
      <c r="D286">
        <v>41500</v>
      </c>
      <c r="E286" t="s">
        <v>23</v>
      </c>
      <c r="F286" t="s">
        <v>9</v>
      </c>
    </row>
    <row r="287" spans="1:6" x14ac:dyDescent="0.25">
      <c r="A287">
        <v>286</v>
      </c>
      <c r="B287" t="s">
        <v>363</v>
      </c>
      <c r="C287" t="s">
        <v>493</v>
      </c>
      <c r="D287">
        <v>41600</v>
      </c>
      <c r="E287" t="s">
        <v>8</v>
      </c>
      <c r="F287" t="s">
        <v>9</v>
      </c>
    </row>
    <row r="288" spans="1:6" x14ac:dyDescent="0.25">
      <c r="A288">
        <v>287</v>
      </c>
      <c r="B288" t="s">
        <v>148</v>
      </c>
      <c r="C288" t="s">
        <v>490</v>
      </c>
      <c r="D288">
        <v>41600</v>
      </c>
      <c r="E288" t="s">
        <v>8</v>
      </c>
      <c r="F288" t="s">
        <v>9</v>
      </c>
    </row>
    <row r="289" spans="1:6" x14ac:dyDescent="0.25">
      <c r="A289">
        <v>288</v>
      </c>
      <c r="B289" t="s">
        <v>398</v>
      </c>
      <c r="C289" t="s">
        <v>492</v>
      </c>
      <c r="D289">
        <v>41700</v>
      </c>
      <c r="E289" t="s">
        <v>8</v>
      </c>
      <c r="F289" t="s">
        <v>20</v>
      </c>
    </row>
    <row r="290" spans="1:6" x14ac:dyDescent="0.25">
      <c r="A290">
        <v>289</v>
      </c>
      <c r="B290" t="s">
        <v>32</v>
      </c>
      <c r="C290" t="s">
        <v>493</v>
      </c>
      <c r="D290">
        <v>41700</v>
      </c>
      <c r="E290" t="s">
        <v>8</v>
      </c>
      <c r="F290" t="s">
        <v>9</v>
      </c>
    </row>
    <row r="291" spans="1:6" x14ac:dyDescent="0.25">
      <c r="A291">
        <v>290</v>
      </c>
      <c r="B291" t="s">
        <v>311</v>
      </c>
      <c r="C291" t="s">
        <v>487</v>
      </c>
      <c r="D291">
        <v>42100</v>
      </c>
      <c r="E291" t="s">
        <v>23</v>
      </c>
      <c r="F291" t="s">
        <v>9</v>
      </c>
    </row>
    <row r="292" spans="1:6" x14ac:dyDescent="0.25">
      <c r="A292">
        <v>291</v>
      </c>
      <c r="B292" t="s">
        <v>178</v>
      </c>
      <c r="C292" t="s">
        <v>493</v>
      </c>
      <c r="D292">
        <v>42400</v>
      </c>
      <c r="E292" t="s">
        <v>8</v>
      </c>
      <c r="F292" t="s">
        <v>9</v>
      </c>
    </row>
    <row r="293" spans="1:6" x14ac:dyDescent="0.25">
      <c r="A293">
        <v>292</v>
      </c>
      <c r="B293" t="s">
        <v>247</v>
      </c>
      <c r="C293" t="s">
        <v>491</v>
      </c>
      <c r="D293">
        <v>42500</v>
      </c>
      <c r="E293" t="s">
        <v>8</v>
      </c>
      <c r="F293" t="s">
        <v>9</v>
      </c>
    </row>
    <row r="294" spans="1:6" x14ac:dyDescent="0.25">
      <c r="A294">
        <v>293</v>
      </c>
      <c r="B294" t="s">
        <v>214</v>
      </c>
      <c r="C294" t="s">
        <v>489</v>
      </c>
      <c r="D294">
        <v>42600</v>
      </c>
      <c r="E294" t="s">
        <v>8</v>
      </c>
      <c r="F294" t="s">
        <v>9</v>
      </c>
    </row>
    <row r="295" spans="1:6" x14ac:dyDescent="0.25">
      <c r="A295">
        <v>294</v>
      </c>
      <c r="B295" t="s">
        <v>336</v>
      </c>
      <c r="C295" t="s">
        <v>489</v>
      </c>
      <c r="D295">
        <v>42700</v>
      </c>
      <c r="E295" t="s">
        <v>8</v>
      </c>
      <c r="F295" t="s">
        <v>9</v>
      </c>
    </row>
    <row r="296" spans="1:6" x14ac:dyDescent="0.25">
      <c r="A296">
        <v>295</v>
      </c>
      <c r="B296" t="s">
        <v>67</v>
      </c>
      <c r="C296" t="s">
        <v>489</v>
      </c>
      <c r="D296">
        <v>42800</v>
      </c>
      <c r="E296" t="s">
        <v>23</v>
      </c>
      <c r="F296" t="s">
        <v>9</v>
      </c>
    </row>
    <row r="297" spans="1:6" x14ac:dyDescent="0.25">
      <c r="A297">
        <v>296</v>
      </c>
      <c r="B297" t="s">
        <v>97</v>
      </c>
      <c r="C297" t="s">
        <v>489</v>
      </c>
      <c r="D297">
        <v>43000</v>
      </c>
      <c r="E297" t="s">
        <v>8</v>
      </c>
      <c r="F297" t="s">
        <v>9</v>
      </c>
    </row>
    <row r="298" spans="1:6" x14ac:dyDescent="0.25">
      <c r="A298">
        <v>297</v>
      </c>
      <c r="B298" t="s">
        <v>87</v>
      </c>
      <c r="C298" t="s">
        <v>486</v>
      </c>
      <c r="D298">
        <v>43500</v>
      </c>
      <c r="E298" t="s">
        <v>38</v>
      </c>
      <c r="F298" t="s">
        <v>20</v>
      </c>
    </row>
    <row r="299" spans="1:6" x14ac:dyDescent="0.25">
      <c r="A299">
        <v>298</v>
      </c>
      <c r="B299" t="s">
        <v>71</v>
      </c>
      <c r="C299" t="s">
        <v>485</v>
      </c>
      <c r="D299">
        <v>43700</v>
      </c>
      <c r="E299" t="s">
        <v>8</v>
      </c>
      <c r="F299" t="s">
        <v>9</v>
      </c>
    </row>
    <row r="300" spans="1:6" x14ac:dyDescent="0.25">
      <c r="A300">
        <v>299</v>
      </c>
      <c r="B300" t="s">
        <v>182</v>
      </c>
      <c r="C300" t="s">
        <v>487</v>
      </c>
      <c r="D300">
        <v>43900</v>
      </c>
      <c r="E300" t="s">
        <v>8</v>
      </c>
      <c r="F300" t="s">
        <v>9</v>
      </c>
    </row>
    <row r="301" spans="1:6" x14ac:dyDescent="0.25">
      <c r="A301">
        <v>300</v>
      </c>
      <c r="B301" t="s">
        <v>144</v>
      </c>
      <c r="C301" t="s">
        <v>492</v>
      </c>
      <c r="D301">
        <v>44300</v>
      </c>
      <c r="E301" t="s">
        <v>8</v>
      </c>
      <c r="F301" t="s">
        <v>9</v>
      </c>
    </row>
    <row r="302" spans="1:6" x14ac:dyDescent="0.25">
      <c r="A302">
        <v>301</v>
      </c>
      <c r="B302" t="s">
        <v>105</v>
      </c>
      <c r="C302" t="s">
        <v>491</v>
      </c>
      <c r="D302">
        <v>44600</v>
      </c>
      <c r="E302" t="s">
        <v>38</v>
      </c>
      <c r="F302" t="s">
        <v>9</v>
      </c>
    </row>
    <row r="303" spans="1:6" x14ac:dyDescent="0.25">
      <c r="A303">
        <v>302</v>
      </c>
      <c r="B303" t="s">
        <v>72</v>
      </c>
      <c r="C303" t="s">
        <v>488</v>
      </c>
      <c r="D303">
        <v>45100</v>
      </c>
      <c r="E303" t="s">
        <v>8</v>
      </c>
      <c r="F303" t="s">
        <v>9</v>
      </c>
    </row>
    <row r="304" spans="1:6" x14ac:dyDescent="0.25">
      <c r="A304">
        <v>303</v>
      </c>
      <c r="B304" t="s">
        <v>117</v>
      </c>
      <c r="C304" t="s">
        <v>491</v>
      </c>
      <c r="D304">
        <v>45100</v>
      </c>
      <c r="E304" t="s">
        <v>8</v>
      </c>
      <c r="F304" t="s">
        <v>9</v>
      </c>
    </row>
    <row r="305" spans="1:6" x14ac:dyDescent="0.25">
      <c r="A305">
        <v>304</v>
      </c>
      <c r="B305" t="s">
        <v>167</v>
      </c>
      <c r="C305" t="s">
        <v>483</v>
      </c>
      <c r="D305">
        <v>45300</v>
      </c>
      <c r="E305" t="s">
        <v>8</v>
      </c>
      <c r="F305" t="s">
        <v>9</v>
      </c>
    </row>
    <row r="306" spans="1:6" x14ac:dyDescent="0.25">
      <c r="A306">
        <v>305</v>
      </c>
      <c r="B306" t="s">
        <v>238</v>
      </c>
      <c r="C306" t="s">
        <v>483</v>
      </c>
      <c r="D306">
        <v>45300</v>
      </c>
      <c r="E306" t="s">
        <v>38</v>
      </c>
      <c r="F306" t="s">
        <v>20</v>
      </c>
    </row>
    <row r="307" spans="1:6" x14ac:dyDescent="0.25">
      <c r="A307">
        <v>306</v>
      </c>
      <c r="B307" t="s">
        <v>124</v>
      </c>
      <c r="C307" t="s">
        <v>493</v>
      </c>
      <c r="D307">
        <v>45400</v>
      </c>
      <c r="E307" t="s">
        <v>8</v>
      </c>
      <c r="F307" t="s">
        <v>9</v>
      </c>
    </row>
    <row r="308" spans="1:6" x14ac:dyDescent="0.25">
      <c r="A308">
        <v>307</v>
      </c>
      <c r="B308" t="s">
        <v>334</v>
      </c>
      <c r="C308" t="s">
        <v>486</v>
      </c>
      <c r="D308">
        <v>45500</v>
      </c>
      <c r="E308" t="s">
        <v>8</v>
      </c>
      <c r="F308" t="s">
        <v>9</v>
      </c>
    </row>
    <row r="309" spans="1:6" x14ac:dyDescent="0.25">
      <c r="A309">
        <v>308</v>
      </c>
      <c r="B309" t="s">
        <v>364</v>
      </c>
      <c r="C309" t="s">
        <v>487</v>
      </c>
      <c r="D309">
        <v>45700</v>
      </c>
      <c r="E309" t="s">
        <v>23</v>
      </c>
      <c r="F309" t="s">
        <v>20</v>
      </c>
    </row>
    <row r="310" spans="1:6" x14ac:dyDescent="0.25">
      <c r="A310">
        <v>309</v>
      </c>
      <c r="B310" t="s">
        <v>257</v>
      </c>
      <c r="C310" t="s">
        <v>486</v>
      </c>
      <c r="D310">
        <v>46100</v>
      </c>
      <c r="E310" t="s">
        <v>38</v>
      </c>
      <c r="F310" t="s">
        <v>20</v>
      </c>
    </row>
    <row r="311" spans="1:6" x14ac:dyDescent="0.25">
      <c r="A311">
        <v>310</v>
      </c>
      <c r="B311" t="s">
        <v>334</v>
      </c>
      <c r="C311" t="s">
        <v>491</v>
      </c>
      <c r="D311">
        <v>46200</v>
      </c>
      <c r="E311" t="s">
        <v>8</v>
      </c>
      <c r="F311" t="s">
        <v>9</v>
      </c>
    </row>
    <row r="312" spans="1:6" x14ac:dyDescent="0.25">
      <c r="A312">
        <v>311</v>
      </c>
      <c r="B312" t="s">
        <v>65</v>
      </c>
      <c r="C312" t="s">
        <v>485</v>
      </c>
      <c r="D312">
        <v>46600</v>
      </c>
      <c r="E312" t="s">
        <v>8</v>
      </c>
      <c r="F312" t="s">
        <v>9</v>
      </c>
    </row>
    <row r="313" spans="1:6" x14ac:dyDescent="0.25">
      <c r="A313">
        <v>312</v>
      </c>
      <c r="B313" t="s">
        <v>40</v>
      </c>
      <c r="C313" t="s">
        <v>483</v>
      </c>
      <c r="D313">
        <v>47100</v>
      </c>
      <c r="E313" t="s">
        <v>23</v>
      </c>
      <c r="F313" t="s">
        <v>9</v>
      </c>
    </row>
    <row r="314" spans="1:6" x14ac:dyDescent="0.25">
      <c r="A314">
        <v>313</v>
      </c>
      <c r="B314" t="s">
        <v>101</v>
      </c>
      <c r="C314" t="s">
        <v>491</v>
      </c>
      <c r="D314">
        <v>47300</v>
      </c>
      <c r="E314" t="s">
        <v>8</v>
      </c>
      <c r="F314" t="s">
        <v>20</v>
      </c>
    </row>
    <row r="315" spans="1:6" x14ac:dyDescent="0.25">
      <c r="A315">
        <v>314</v>
      </c>
      <c r="B315" t="s">
        <v>227</v>
      </c>
      <c r="C315" t="s">
        <v>487</v>
      </c>
      <c r="D315">
        <v>47600</v>
      </c>
      <c r="E315" t="s">
        <v>8</v>
      </c>
      <c r="F315" t="s">
        <v>9</v>
      </c>
    </row>
    <row r="316" spans="1:6" x14ac:dyDescent="0.25">
      <c r="A316">
        <v>315</v>
      </c>
      <c r="B316" t="s">
        <v>129</v>
      </c>
      <c r="C316" t="s">
        <v>491</v>
      </c>
      <c r="D316">
        <v>48000</v>
      </c>
      <c r="E316" t="s">
        <v>38</v>
      </c>
      <c r="F316" t="s">
        <v>20</v>
      </c>
    </row>
    <row r="317" spans="1:6" x14ac:dyDescent="0.25">
      <c r="A317">
        <v>316</v>
      </c>
      <c r="B317" t="s">
        <v>68</v>
      </c>
      <c r="C317" t="s">
        <v>493</v>
      </c>
      <c r="D317">
        <v>48000</v>
      </c>
      <c r="E317" t="s">
        <v>8</v>
      </c>
      <c r="F317" t="s">
        <v>9</v>
      </c>
    </row>
    <row r="318" spans="1:6" x14ac:dyDescent="0.25">
      <c r="A318">
        <v>317</v>
      </c>
      <c r="B318" t="s">
        <v>372</v>
      </c>
      <c r="C318" t="s">
        <v>483</v>
      </c>
      <c r="D318">
        <v>48100</v>
      </c>
      <c r="E318" t="s">
        <v>38</v>
      </c>
      <c r="F318" t="s">
        <v>9</v>
      </c>
    </row>
    <row r="319" spans="1:6" x14ac:dyDescent="0.25">
      <c r="A319">
        <v>318</v>
      </c>
      <c r="B319" t="s">
        <v>208</v>
      </c>
      <c r="C319" t="s">
        <v>490</v>
      </c>
      <c r="D319">
        <v>48200</v>
      </c>
      <c r="E319" t="s">
        <v>8</v>
      </c>
      <c r="F319" t="s">
        <v>20</v>
      </c>
    </row>
    <row r="320" spans="1:6" x14ac:dyDescent="0.25">
      <c r="A320">
        <v>319</v>
      </c>
      <c r="B320" t="s">
        <v>341</v>
      </c>
      <c r="C320" t="s">
        <v>485</v>
      </c>
      <c r="D320">
        <v>48600</v>
      </c>
      <c r="E320" t="s">
        <v>8</v>
      </c>
      <c r="F320" t="s">
        <v>9</v>
      </c>
    </row>
    <row r="321" spans="1:6" x14ac:dyDescent="0.25">
      <c r="A321">
        <v>320</v>
      </c>
      <c r="B321" t="s">
        <v>198</v>
      </c>
      <c r="C321" t="s">
        <v>487</v>
      </c>
      <c r="D321">
        <v>48700</v>
      </c>
      <c r="E321" t="s">
        <v>8</v>
      </c>
      <c r="F321" t="s">
        <v>9</v>
      </c>
    </row>
    <row r="322" spans="1:6" x14ac:dyDescent="0.25">
      <c r="A322">
        <v>321</v>
      </c>
      <c r="B322" t="s">
        <v>354</v>
      </c>
      <c r="C322" t="s">
        <v>493</v>
      </c>
      <c r="D322">
        <v>49000</v>
      </c>
      <c r="E322" t="s">
        <v>8</v>
      </c>
      <c r="F322" t="s">
        <v>9</v>
      </c>
    </row>
    <row r="323" spans="1:6" x14ac:dyDescent="0.25">
      <c r="A323">
        <v>322</v>
      </c>
      <c r="B323" t="s">
        <v>169</v>
      </c>
      <c r="C323" t="s">
        <v>485</v>
      </c>
      <c r="D323">
        <v>49200</v>
      </c>
      <c r="E323" t="s">
        <v>23</v>
      </c>
      <c r="F323" t="s">
        <v>9</v>
      </c>
    </row>
    <row r="324" spans="1:6" x14ac:dyDescent="0.25">
      <c r="A324">
        <v>323</v>
      </c>
      <c r="B324" t="s">
        <v>165</v>
      </c>
      <c r="C324" t="s">
        <v>484</v>
      </c>
      <c r="D324">
        <v>49600</v>
      </c>
      <c r="E324" t="s">
        <v>8</v>
      </c>
      <c r="F324" t="s">
        <v>9</v>
      </c>
    </row>
    <row r="325" spans="1:6" x14ac:dyDescent="0.25">
      <c r="A325">
        <v>324</v>
      </c>
      <c r="B325" t="s">
        <v>101</v>
      </c>
      <c r="C325" t="s">
        <v>491</v>
      </c>
      <c r="D325">
        <v>50000</v>
      </c>
      <c r="E325" t="s">
        <v>8</v>
      </c>
      <c r="F325" t="s">
        <v>9</v>
      </c>
    </row>
    <row r="326" spans="1:6" x14ac:dyDescent="0.25">
      <c r="A326">
        <v>325</v>
      </c>
      <c r="B326" t="s">
        <v>63</v>
      </c>
      <c r="C326" t="s">
        <v>490</v>
      </c>
      <c r="D326">
        <v>50900</v>
      </c>
      <c r="E326" t="s">
        <v>8</v>
      </c>
      <c r="F326" t="s">
        <v>9</v>
      </c>
    </row>
    <row r="327" spans="1:6" x14ac:dyDescent="0.25">
      <c r="A327">
        <v>326</v>
      </c>
      <c r="B327" t="s">
        <v>311</v>
      </c>
      <c r="C327" t="s">
        <v>494</v>
      </c>
      <c r="D327">
        <v>51200</v>
      </c>
      <c r="E327" t="s">
        <v>8</v>
      </c>
      <c r="F327" t="s">
        <v>9</v>
      </c>
    </row>
    <row r="328" spans="1:6" x14ac:dyDescent="0.25">
      <c r="A328">
        <v>327</v>
      </c>
      <c r="B328" t="s">
        <v>139</v>
      </c>
      <c r="C328" t="s">
        <v>493</v>
      </c>
      <c r="D328">
        <v>51500</v>
      </c>
      <c r="E328" t="s">
        <v>23</v>
      </c>
      <c r="F328" t="s">
        <v>9</v>
      </c>
    </row>
    <row r="329" spans="1:6" x14ac:dyDescent="0.25">
      <c r="A329">
        <v>328</v>
      </c>
      <c r="B329" t="s">
        <v>137</v>
      </c>
      <c r="C329" t="s">
        <v>493</v>
      </c>
      <c r="D329">
        <v>51500</v>
      </c>
      <c r="E329" t="s">
        <v>8</v>
      </c>
      <c r="F329" t="s">
        <v>9</v>
      </c>
    </row>
    <row r="330" spans="1:6" x14ac:dyDescent="0.25">
      <c r="A330">
        <v>329</v>
      </c>
      <c r="B330" t="s">
        <v>323</v>
      </c>
      <c r="C330" t="s">
        <v>483</v>
      </c>
      <c r="D330">
        <v>51900</v>
      </c>
      <c r="E330" t="s">
        <v>8</v>
      </c>
      <c r="F330" t="s">
        <v>9</v>
      </c>
    </row>
    <row r="331" spans="1:6" x14ac:dyDescent="0.25">
      <c r="A331">
        <v>330</v>
      </c>
      <c r="B331" t="s">
        <v>175</v>
      </c>
      <c r="C331" t="s">
        <v>489</v>
      </c>
      <c r="D331">
        <v>52600</v>
      </c>
      <c r="E331" t="s">
        <v>8</v>
      </c>
      <c r="F331" t="s">
        <v>9</v>
      </c>
    </row>
    <row r="332" spans="1:6" x14ac:dyDescent="0.25">
      <c r="A332">
        <v>331</v>
      </c>
      <c r="B332" t="s">
        <v>168</v>
      </c>
      <c r="C332" t="s">
        <v>489</v>
      </c>
      <c r="D332">
        <v>52800</v>
      </c>
      <c r="E332" t="s">
        <v>8</v>
      </c>
      <c r="F332" t="s">
        <v>20</v>
      </c>
    </row>
    <row r="333" spans="1:6" x14ac:dyDescent="0.25">
      <c r="A333">
        <v>332</v>
      </c>
      <c r="B333" t="s">
        <v>123</v>
      </c>
      <c r="C333" t="s">
        <v>491</v>
      </c>
      <c r="D333">
        <v>52800</v>
      </c>
      <c r="E333" t="s">
        <v>8</v>
      </c>
      <c r="F333" t="s">
        <v>9</v>
      </c>
    </row>
    <row r="334" spans="1:6" x14ac:dyDescent="0.25">
      <c r="A334">
        <v>333</v>
      </c>
      <c r="B334" t="s">
        <v>360</v>
      </c>
      <c r="C334" t="s">
        <v>490</v>
      </c>
      <c r="D334">
        <v>53000</v>
      </c>
      <c r="E334" t="s">
        <v>8</v>
      </c>
      <c r="F334" t="s">
        <v>9</v>
      </c>
    </row>
    <row r="335" spans="1:6" x14ac:dyDescent="0.25">
      <c r="A335">
        <v>334</v>
      </c>
      <c r="B335" t="s">
        <v>128</v>
      </c>
      <c r="C335" t="s">
        <v>494</v>
      </c>
      <c r="D335">
        <v>53400</v>
      </c>
      <c r="E335" t="s">
        <v>8</v>
      </c>
      <c r="F335" t="s">
        <v>9</v>
      </c>
    </row>
    <row r="336" spans="1:6" x14ac:dyDescent="0.25">
      <c r="A336">
        <v>335</v>
      </c>
      <c r="B336" t="s">
        <v>115</v>
      </c>
      <c r="C336" t="s">
        <v>483</v>
      </c>
      <c r="D336">
        <v>53400</v>
      </c>
      <c r="E336" t="s">
        <v>38</v>
      </c>
      <c r="F336" t="s">
        <v>20</v>
      </c>
    </row>
    <row r="337" spans="1:6" x14ac:dyDescent="0.25">
      <c r="A337">
        <v>336</v>
      </c>
      <c r="B337" t="s">
        <v>395</v>
      </c>
      <c r="C337" t="s">
        <v>485</v>
      </c>
      <c r="D337">
        <v>53600</v>
      </c>
      <c r="E337" t="s">
        <v>23</v>
      </c>
      <c r="F337" t="s">
        <v>9</v>
      </c>
    </row>
    <row r="338" spans="1:6" x14ac:dyDescent="0.25">
      <c r="A338">
        <v>337</v>
      </c>
      <c r="B338" t="s">
        <v>252</v>
      </c>
      <c r="C338" t="s">
        <v>483</v>
      </c>
      <c r="D338">
        <v>53800</v>
      </c>
      <c r="E338" t="s">
        <v>38</v>
      </c>
      <c r="F338" t="s">
        <v>9</v>
      </c>
    </row>
    <row r="339" spans="1:6" x14ac:dyDescent="0.25">
      <c r="A339">
        <v>338</v>
      </c>
      <c r="B339" t="s">
        <v>290</v>
      </c>
      <c r="C339" t="s">
        <v>487</v>
      </c>
      <c r="D339">
        <v>53900</v>
      </c>
      <c r="E339" t="s">
        <v>8</v>
      </c>
      <c r="F339" t="s">
        <v>9</v>
      </c>
    </row>
    <row r="340" spans="1:6" x14ac:dyDescent="0.25">
      <c r="A340">
        <v>339</v>
      </c>
      <c r="B340" t="s">
        <v>288</v>
      </c>
      <c r="C340" t="s">
        <v>484</v>
      </c>
      <c r="D340">
        <v>54200</v>
      </c>
      <c r="E340" t="s">
        <v>8</v>
      </c>
      <c r="F340" t="s">
        <v>9</v>
      </c>
    </row>
    <row r="341" spans="1:6" x14ac:dyDescent="0.25">
      <c r="A341">
        <v>340</v>
      </c>
      <c r="B341" t="s">
        <v>270</v>
      </c>
      <c r="C341" t="s">
        <v>489</v>
      </c>
      <c r="D341">
        <v>54300</v>
      </c>
      <c r="E341" t="s">
        <v>8</v>
      </c>
      <c r="F341" t="s">
        <v>9</v>
      </c>
    </row>
    <row r="342" spans="1:6" x14ac:dyDescent="0.25">
      <c r="A342">
        <v>341</v>
      </c>
      <c r="B342" t="s">
        <v>43</v>
      </c>
      <c r="C342" t="s">
        <v>484</v>
      </c>
      <c r="D342">
        <v>54300</v>
      </c>
      <c r="E342" t="s">
        <v>8</v>
      </c>
      <c r="F342" t="s">
        <v>9</v>
      </c>
    </row>
    <row r="343" spans="1:6" x14ac:dyDescent="0.25">
      <c r="A343">
        <v>342</v>
      </c>
      <c r="B343" t="s">
        <v>134</v>
      </c>
      <c r="C343" t="s">
        <v>489</v>
      </c>
      <c r="D343">
        <v>55000</v>
      </c>
      <c r="E343" t="s">
        <v>8</v>
      </c>
      <c r="F343" t="s">
        <v>9</v>
      </c>
    </row>
    <row r="344" spans="1:6" x14ac:dyDescent="0.25">
      <c r="A344">
        <v>343</v>
      </c>
      <c r="B344" t="s">
        <v>342</v>
      </c>
      <c r="C344" t="s">
        <v>483</v>
      </c>
      <c r="D344">
        <v>55000</v>
      </c>
      <c r="E344" t="s">
        <v>38</v>
      </c>
      <c r="F344" t="s">
        <v>20</v>
      </c>
    </row>
    <row r="345" spans="1:6" x14ac:dyDescent="0.25">
      <c r="A345">
        <v>344</v>
      </c>
      <c r="B345" t="s">
        <v>102</v>
      </c>
      <c r="C345" t="s">
        <v>490</v>
      </c>
      <c r="D345">
        <v>55700</v>
      </c>
      <c r="E345" t="s">
        <v>8</v>
      </c>
      <c r="F345" t="s">
        <v>9</v>
      </c>
    </row>
    <row r="346" spans="1:6" x14ac:dyDescent="0.25">
      <c r="A346">
        <v>345</v>
      </c>
      <c r="B346" t="s">
        <v>362</v>
      </c>
      <c r="C346" t="s">
        <v>489</v>
      </c>
      <c r="D346">
        <v>55800</v>
      </c>
      <c r="E346" t="s">
        <v>8</v>
      </c>
      <c r="F346" t="s">
        <v>9</v>
      </c>
    </row>
    <row r="347" spans="1:6" x14ac:dyDescent="0.25">
      <c r="A347">
        <v>346</v>
      </c>
      <c r="B347" t="s">
        <v>233</v>
      </c>
      <c r="C347" t="s">
        <v>487</v>
      </c>
      <c r="D347">
        <v>57200</v>
      </c>
      <c r="E347" t="s">
        <v>8</v>
      </c>
      <c r="F347" t="s">
        <v>9</v>
      </c>
    </row>
    <row r="348" spans="1:6" x14ac:dyDescent="0.25">
      <c r="A348">
        <v>347</v>
      </c>
      <c r="B348" t="s">
        <v>185</v>
      </c>
      <c r="C348" t="s">
        <v>494</v>
      </c>
      <c r="D348">
        <v>57500</v>
      </c>
      <c r="E348" t="s">
        <v>23</v>
      </c>
      <c r="F348" t="s">
        <v>9</v>
      </c>
    </row>
    <row r="349" spans="1:6" x14ac:dyDescent="0.25">
      <c r="A349">
        <v>348</v>
      </c>
      <c r="B349" t="s">
        <v>76</v>
      </c>
      <c r="C349" t="s">
        <v>485</v>
      </c>
      <c r="D349">
        <v>58200</v>
      </c>
      <c r="E349" t="s">
        <v>8</v>
      </c>
      <c r="F349" t="s">
        <v>9</v>
      </c>
    </row>
    <row r="350" spans="1:6" x14ac:dyDescent="0.25">
      <c r="A350">
        <v>349</v>
      </c>
      <c r="B350" t="s">
        <v>248</v>
      </c>
      <c r="C350" t="s">
        <v>491</v>
      </c>
      <c r="D350">
        <v>58300</v>
      </c>
      <c r="E350" t="s">
        <v>8</v>
      </c>
      <c r="F350" t="s">
        <v>9</v>
      </c>
    </row>
    <row r="351" spans="1:6" x14ac:dyDescent="0.25">
      <c r="A351">
        <v>350</v>
      </c>
      <c r="B351" t="s">
        <v>401</v>
      </c>
      <c r="C351" t="s">
        <v>488</v>
      </c>
      <c r="D351">
        <v>58300</v>
      </c>
      <c r="E351" t="s">
        <v>8</v>
      </c>
      <c r="F351" t="s">
        <v>9</v>
      </c>
    </row>
    <row r="352" spans="1:6" x14ac:dyDescent="0.25">
      <c r="A352">
        <v>351</v>
      </c>
      <c r="B352" t="s">
        <v>236</v>
      </c>
      <c r="C352" t="s">
        <v>491</v>
      </c>
      <c r="D352">
        <v>58400</v>
      </c>
      <c r="E352" t="s">
        <v>8</v>
      </c>
      <c r="F352" t="s">
        <v>9</v>
      </c>
    </row>
    <row r="353" spans="1:6" x14ac:dyDescent="0.25">
      <c r="A353">
        <v>352</v>
      </c>
      <c r="B353" t="s">
        <v>40</v>
      </c>
      <c r="C353" t="s">
        <v>487</v>
      </c>
      <c r="D353">
        <v>58800</v>
      </c>
      <c r="E353" t="s">
        <v>8</v>
      </c>
      <c r="F353" t="s">
        <v>9</v>
      </c>
    </row>
    <row r="354" spans="1:6" x14ac:dyDescent="0.25">
      <c r="A354">
        <v>353</v>
      </c>
      <c r="B354" t="s">
        <v>34</v>
      </c>
      <c r="C354" t="s">
        <v>490</v>
      </c>
      <c r="D354">
        <v>59200</v>
      </c>
      <c r="E354" t="s">
        <v>38</v>
      </c>
      <c r="F354" t="s">
        <v>9</v>
      </c>
    </row>
    <row r="355" spans="1:6" x14ac:dyDescent="0.25">
      <c r="A355">
        <v>354</v>
      </c>
      <c r="B355" t="s">
        <v>311</v>
      </c>
      <c r="C355" t="s">
        <v>488</v>
      </c>
      <c r="D355">
        <v>59500</v>
      </c>
      <c r="E355" t="s">
        <v>8</v>
      </c>
      <c r="F355" t="s">
        <v>9</v>
      </c>
    </row>
    <row r="356" spans="1:6" x14ac:dyDescent="0.25">
      <c r="A356">
        <v>355</v>
      </c>
      <c r="B356" t="s">
        <v>42</v>
      </c>
      <c r="C356" t="s">
        <v>485</v>
      </c>
      <c r="D356">
        <v>59600</v>
      </c>
      <c r="E356" t="s">
        <v>38</v>
      </c>
      <c r="F356" t="s">
        <v>20</v>
      </c>
    </row>
    <row r="357" spans="1:6" x14ac:dyDescent="0.25">
      <c r="A357">
        <v>356</v>
      </c>
      <c r="B357" t="s">
        <v>229</v>
      </c>
      <c r="C357" t="s">
        <v>486</v>
      </c>
      <c r="D357">
        <v>59600</v>
      </c>
      <c r="E357" t="s">
        <v>38</v>
      </c>
      <c r="F357" t="s">
        <v>20</v>
      </c>
    </row>
    <row r="358" spans="1:6" x14ac:dyDescent="0.25">
      <c r="A358">
        <v>357</v>
      </c>
      <c r="B358" t="s">
        <v>260</v>
      </c>
      <c r="C358" t="s">
        <v>491</v>
      </c>
      <c r="D358">
        <v>60200</v>
      </c>
      <c r="E358" t="s">
        <v>8</v>
      </c>
      <c r="F358" t="s">
        <v>9</v>
      </c>
    </row>
    <row r="359" spans="1:6" x14ac:dyDescent="0.25">
      <c r="A359">
        <v>358</v>
      </c>
      <c r="B359" t="s">
        <v>290</v>
      </c>
      <c r="C359" t="s">
        <v>484</v>
      </c>
      <c r="D359">
        <v>60400</v>
      </c>
      <c r="E359" t="s">
        <v>8</v>
      </c>
      <c r="F359" t="s">
        <v>9</v>
      </c>
    </row>
    <row r="360" spans="1:6" x14ac:dyDescent="0.25">
      <c r="A360">
        <v>359</v>
      </c>
      <c r="B360" t="s">
        <v>209</v>
      </c>
      <c r="C360" t="s">
        <v>492</v>
      </c>
      <c r="D360">
        <v>60700</v>
      </c>
      <c r="E360" t="s">
        <v>8</v>
      </c>
      <c r="F360" t="s">
        <v>9</v>
      </c>
    </row>
    <row r="361" spans="1:6" x14ac:dyDescent="0.25">
      <c r="A361">
        <v>360</v>
      </c>
      <c r="B361" t="s">
        <v>227</v>
      </c>
      <c r="C361" t="s">
        <v>489</v>
      </c>
      <c r="D361">
        <v>61400</v>
      </c>
      <c r="E361" t="s">
        <v>8</v>
      </c>
      <c r="F361" t="s">
        <v>9</v>
      </c>
    </row>
    <row r="362" spans="1:6" x14ac:dyDescent="0.25">
      <c r="A362">
        <v>361</v>
      </c>
      <c r="B362" t="s">
        <v>394</v>
      </c>
      <c r="C362" t="s">
        <v>491</v>
      </c>
      <c r="D362">
        <v>62200</v>
      </c>
      <c r="E362" t="s">
        <v>8</v>
      </c>
      <c r="F362" t="s">
        <v>9</v>
      </c>
    </row>
    <row r="363" spans="1:6" x14ac:dyDescent="0.25">
      <c r="A363">
        <v>362</v>
      </c>
      <c r="B363" t="s">
        <v>273</v>
      </c>
      <c r="C363" t="s">
        <v>485</v>
      </c>
      <c r="D363">
        <v>63600</v>
      </c>
      <c r="E363" t="s">
        <v>8</v>
      </c>
      <c r="F363" t="s">
        <v>9</v>
      </c>
    </row>
    <row r="364" spans="1:6" x14ac:dyDescent="0.25">
      <c r="A364">
        <v>363</v>
      </c>
      <c r="B364" t="s">
        <v>109</v>
      </c>
      <c r="C364" t="s">
        <v>494</v>
      </c>
      <c r="D364">
        <v>63700</v>
      </c>
      <c r="E364" t="s">
        <v>8</v>
      </c>
      <c r="F364" t="s">
        <v>9</v>
      </c>
    </row>
    <row r="365" spans="1:6" x14ac:dyDescent="0.25">
      <c r="A365">
        <v>364</v>
      </c>
      <c r="B365" t="s">
        <v>332</v>
      </c>
      <c r="C365" t="s">
        <v>492</v>
      </c>
      <c r="D365">
        <v>64000</v>
      </c>
      <c r="E365" t="s">
        <v>23</v>
      </c>
      <c r="F365" t="s">
        <v>9</v>
      </c>
    </row>
    <row r="366" spans="1:6" x14ac:dyDescent="0.25">
      <c r="A366">
        <v>365</v>
      </c>
      <c r="B366" t="s">
        <v>54</v>
      </c>
      <c r="C366" t="s">
        <v>486</v>
      </c>
      <c r="D366">
        <v>64600</v>
      </c>
      <c r="E366" t="s">
        <v>8</v>
      </c>
      <c r="F366" t="s">
        <v>9</v>
      </c>
    </row>
    <row r="367" spans="1:6" x14ac:dyDescent="0.25">
      <c r="A367">
        <v>366</v>
      </c>
      <c r="B367" t="s">
        <v>311</v>
      </c>
      <c r="C367" t="s">
        <v>483</v>
      </c>
      <c r="D367">
        <v>64800</v>
      </c>
      <c r="E367" t="s">
        <v>8</v>
      </c>
      <c r="F367" t="s">
        <v>9</v>
      </c>
    </row>
    <row r="368" spans="1:6" x14ac:dyDescent="0.25">
      <c r="A368">
        <v>367</v>
      </c>
      <c r="B368" t="s">
        <v>218</v>
      </c>
      <c r="C368" t="s">
        <v>493</v>
      </c>
      <c r="D368">
        <v>65600</v>
      </c>
      <c r="E368" t="s">
        <v>8</v>
      </c>
      <c r="F368" t="s">
        <v>9</v>
      </c>
    </row>
    <row r="369" spans="1:6" x14ac:dyDescent="0.25">
      <c r="A369">
        <v>368</v>
      </c>
      <c r="B369" t="s">
        <v>366</v>
      </c>
      <c r="C369" t="s">
        <v>490</v>
      </c>
      <c r="D369">
        <v>65700</v>
      </c>
      <c r="E369" t="s">
        <v>8</v>
      </c>
      <c r="F369" t="s">
        <v>9</v>
      </c>
    </row>
    <row r="370" spans="1:6" x14ac:dyDescent="0.25">
      <c r="A370">
        <v>369</v>
      </c>
      <c r="B370" t="s">
        <v>24</v>
      </c>
      <c r="C370" t="s">
        <v>494</v>
      </c>
      <c r="D370">
        <v>65900</v>
      </c>
      <c r="E370" t="s">
        <v>8</v>
      </c>
      <c r="F370" t="s">
        <v>9</v>
      </c>
    </row>
    <row r="371" spans="1:6" x14ac:dyDescent="0.25">
      <c r="A371">
        <v>370</v>
      </c>
      <c r="B371" t="s">
        <v>80</v>
      </c>
      <c r="C371" t="s">
        <v>485</v>
      </c>
      <c r="D371">
        <v>66000</v>
      </c>
      <c r="E371" t="s">
        <v>38</v>
      </c>
      <c r="F371" t="s">
        <v>9</v>
      </c>
    </row>
    <row r="372" spans="1:6" x14ac:dyDescent="0.25">
      <c r="A372">
        <v>371</v>
      </c>
      <c r="B372" t="s">
        <v>195</v>
      </c>
      <c r="C372" t="s">
        <v>486</v>
      </c>
      <c r="D372">
        <v>66600</v>
      </c>
      <c r="E372" t="s">
        <v>8</v>
      </c>
      <c r="F372" t="s">
        <v>9</v>
      </c>
    </row>
    <row r="373" spans="1:6" x14ac:dyDescent="0.25">
      <c r="A373">
        <v>372</v>
      </c>
      <c r="B373" t="s">
        <v>336</v>
      </c>
      <c r="C373" t="s">
        <v>487</v>
      </c>
      <c r="D373">
        <v>66700</v>
      </c>
      <c r="E373" t="s">
        <v>23</v>
      </c>
      <c r="F373" t="s">
        <v>20</v>
      </c>
    </row>
    <row r="374" spans="1:6" x14ac:dyDescent="0.25">
      <c r="A374">
        <v>373</v>
      </c>
      <c r="B374" t="s">
        <v>340</v>
      </c>
      <c r="C374" t="s">
        <v>487</v>
      </c>
      <c r="D374">
        <v>67000</v>
      </c>
      <c r="E374" t="s">
        <v>8</v>
      </c>
      <c r="F374" t="s">
        <v>9</v>
      </c>
    </row>
    <row r="375" spans="1:6" x14ac:dyDescent="0.25">
      <c r="A375">
        <v>374</v>
      </c>
      <c r="B375" t="s">
        <v>86</v>
      </c>
      <c r="C375" t="s">
        <v>491</v>
      </c>
      <c r="D375">
        <v>67600</v>
      </c>
      <c r="E375" t="s">
        <v>23</v>
      </c>
      <c r="F375" t="s">
        <v>9</v>
      </c>
    </row>
    <row r="376" spans="1:6" x14ac:dyDescent="0.25">
      <c r="A376">
        <v>375</v>
      </c>
      <c r="B376" t="s">
        <v>209</v>
      </c>
      <c r="C376" t="s">
        <v>483</v>
      </c>
      <c r="D376">
        <v>69900</v>
      </c>
      <c r="E376" t="s">
        <v>8</v>
      </c>
      <c r="F376" t="s">
        <v>20</v>
      </c>
    </row>
    <row r="377" spans="1:6" x14ac:dyDescent="0.25">
      <c r="A377">
        <v>376</v>
      </c>
      <c r="B377" t="s">
        <v>81</v>
      </c>
      <c r="C377" t="s">
        <v>492</v>
      </c>
      <c r="D377">
        <v>70000</v>
      </c>
      <c r="E377" t="s">
        <v>8</v>
      </c>
      <c r="F377" t="s">
        <v>9</v>
      </c>
    </row>
    <row r="378" spans="1:6" x14ac:dyDescent="0.25">
      <c r="A378">
        <v>377</v>
      </c>
      <c r="B378" t="s">
        <v>217</v>
      </c>
      <c r="C378" t="s">
        <v>489</v>
      </c>
      <c r="D378">
        <v>71000</v>
      </c>
      <c r="E378" t="s">
        <v>23</v>
      </c>
      <c r="F378" t="s">
        <v>9</v>
      </c>
    </row>
    <row r="379" spans="1:6" x14ac:dyDescent="0.25">
      <c r="A379">
        <v>378</v>
      </c>
      <c r="B379" t="s">
        <v>343</v>
      </c>
      <c r="C379" t="s">
        <v>487</v>
      </c>
      <c r="D379">
        <v>71200</v>
      </c>
      <c r="E379" t="s">
        <v>38</v>
      </c>
      <c r="F379" t="s">
        <v>20</v>
      </c>
    </row>
    <row r="380" spans="1:6" x14ac:dyDescent="0.25">
      <c r="A380">
        <v>379</v>
      </c>
      <c r="B380" t="s">
        <v>115</v>
      </c>
      <c r="C380" t="s">
        <v>489</v>
      </c>
      <c r="D380">
        <v>71300</v>
      </c>
      <c r="E380" t="s">
        <v>8</v>
      </c>
      <c r="F380" t="s">
        <v>9</v>
      </c>
    </row>
    <row r="381" spans="1:6" x14ac:dyDescent="0.25">
      <c r="A381">
        <v>380</v>
      </c>
      <c r="B381" t="s">
        <v>231</v>
      </c>
      <c r="C381" t="s">
        <v>484</v>
      </c>
      <c r="D381">
        <v>71900</v>
      </c>
      <c r="E381" t="s">
        <v>8</v>
      </c>
      <c r="F381" t="s">
        <v>9</v>
      </c>
    </row>
    <row r="382" spans="1:6" x14ac:dyDescent="0.25">
      <c r="A382">
        <v>381</v>
      </c>
      <c r="B382" t="s">
        <v>363</v>
      </c>
      <c r="C382" t="s">
        <v>493</v>
      </c>
      <c r="D382">
        <v>72100</v>
      </c>
      <c r="E382" t="s">
        <v>8</v>
      </c>
      <c r="F382" t="s">
        <v>9</v>
      </c>
    </row>
    <row r="383" spans="1:6" x14ac:dyDescent="0.25">
      <c r="A383">
        <v>382</v>
      </c>
      <c r="B383" t="s">
        <v>279</v>
      </c>
      <c r="C383" t="s">
        <v>484</v>
      </c>
      <c r="D383">
        <v>72200</v>
      </c>
      <c r="E383" t="s">
        <v>8</v>
      </c>
      <c r="F383" t="s">
        <v>9</v>
      </c>
    </row>
    <row r="384" spans="1:6" x14ac:dyDescent="0.25">
      <c r="A384">
        <v>383</v>
      </c>
      <c r="B384" t="s">
        <v>21</v>
      </c>
      <c r="C384" t="s">
        <v>490</v>
      </c>
      <c r="D384">
        <v>72600</v>
      </c>
      <c r="E384" t="s">
        <v>23</v>
      </c>
      <c r="F384" t="s">
        <v>20</v>
      </c>
    </row>
    <row r="385" spans="1:6" x14ac:dyDescent="0.25">
      <c r="A385">
        <v>384</v>
      </c>
      <c r="B385" t="s">
        <v>231</v>
      </c>
      <c r="C385" t="s">
        <v>486</v>
      </c>
      <c r="D385">
        <v>73300</v>
      </c>
      <c r="E385" t="s">
        <v>23</v>
      </c>
      <c r="F385" t="s">
        <v>9</v>
      </c>
    </row>
    <row r="386" spans="1:6" x14ac:dyDescent="0.25">
      <c r="A386">
        <v>385</v>
      </c>
      <c r="B386" t="s">
        <v>389</v>
      </c>
      <c r="C386" t="s">
        <v>485</v>
      </c>
      <c r="D386">
        <v>73800</v>
      </c>
      <c r="E386" t="s">
        <v>8</v>
      </c>
      <c r="F386" t="s">
        <v>9</v>
      </c>
    </row>
    <row r="387" spans="1:6" x14ac:dyDescent="0.25">
      <c r="A387">
        <v>386</v>
      </c>
      <c r="B387" t="s">
        <v>191</v>
      </c>
      <c r="C387" t="s">
        <v>494</v>
      </c>
      <c r="D387">
        <v>74500</v>
      </c>
      <c r="E387" t="s">
        <v>8</v>
      </c>
      <c r="F387" t="s">
        <v>9</v>
      </c>
    </row>
    <row r="388" spans="1:6" x14ac:dyDescent="0.25">
      <c r="A388">
        <v>387</v>
      </c>
      <c r="B388" t="s">
        <v>262</v>
      </c>
      <c r="C388" t="s">
        <v>489</v>
      </c>
      <c r="D388">
        <v>74600</v>
      </c>
      <c r="E388" t="s">
        <v>8</v>
      </c>
      <c r="F388" t="s">
        <v>9</v>
      </c>
    </row>
    <row r="389" spans="1:6" x14ac:dyDescent="0.25">
      <c r="A389">
        <v>388</v>
      </c>
      <c r="B389" t="s">
        <v>394</v>
      </c>
      <c r="C389" t="s">
        <v>492</v>
      </c>
      <c r="D389">
        <v>74800</v>
      </c>
      <c r="E389" t="s">
        <v>8</v>
      </c>
      <c r="F389" t="s">
        <v>9</v>
      </c>
    </row>
    <row r="390" spans="1:6" x14ac:dyDescent="0.25">
      <c r="A390">
        <v>389</v>
      </c>
      <c r="B390" t="s">
        <v>90</v>
      </c>
      <c r="C390" t="s">
        <v>491</v>
      </c>
      <c r="D390">
        <v>74900</v>
      </c>
      <c r="E390" t="s">
        <v>8</v>
      </c>
      <c r="F390" t="s">
        <v>9</v>
      </c>
    </row>
    <row r="391" spans="1:6" x14ac:dyDescent="0.25">
      <c r="A391">
        <v>390</v>
      </c>
      <c r="B391" t="s">
        <v>420</v>
      </c>
      <c r="C391" t="s">
        <v>492</v>
      </c>
      <c r="D391">
        <v>75000</v>
      </c>
      <c r="E391" t="s">
        <v>23</v>
      </c>
      <c r="F391" t="s">
        <v>9</v>
      </c>
    </row>
    <row r="392" spans="1:6" x14ac:dyDescent="0.25">
      <c r="A392">
        <v>391</v>
      </c>
      <c r="B392" t="s">
        <v>208</v>
      </c>
      <c r="C392" t="s">
        <v>488</v>
      </c>
      <c r="D392">
        <v>75900</v>
      </c>
      <c r="E392" t="s">
        <v>23</v>
      </c>
      <c r="F392" t="s">
        <v>9</v>
      </c>
    </row>
    <row r="393" spans="1:6" x14ac:dyDescent="0.25">
      <c r="A393">
        <v>392</v>
      </c>
      <c r="B393" t="s">
        <v>131</v>
      </c>
      <c r="C393" t="s">
        <v>484</v>
      </c>
      <c r="D393">
        <v>76200</v>
      </c>
      <c r="E393" t="s">
        <v>8</v>
      </c>
      <c r="F393" t="s">
        <v>9</v>
      </c>
    </row>
    <row r="394" spans="1:6" x14ac:dyDescent="0.25">
      <c r="A394">
        <v>393</v>
      </c>
      <c r="B394" t="s">
        <v>37</v>
      </c>
      <c r="C394" t="s">
        <v>494</v>
      </c>
      <c r="D394">
        <v>78500</v>
      </c>
      <c r="E394" t="s">
        <v>8</v>
      </c>
      <c r="F394" t="s">
        <v>9</v>
      </c>
    </row>
    <row r="395" spans="1:6" x14ac:dyDescent="0.25">
      <c r="A395">
        <v>394</v>
      </c>
      <c r="B395" t="s">
        <v>418</v>
      </c>
      <c r="C395" t="s">
        <v>486</v>
      </c>
      <c r="D395">
        <v>79200</v>
      </c>
      <c r="E395" t="s">
        <v>38</v>
      </c>
      <c r="F395" t="s">
        <v>20</v>
      </c>
    </row>
    <row r="396" spans="1:6" x14ac:dyDescent="0.25">
      <c r="A396">
        <v>395</v>
      </c>
      <c r="B396" t="s">
        <v>276</v>
      </c>
      <c r="C396" t="s">
        <v>489</v>
      </c>
      <c r="D396">
        <v>81500</v>
      </c>
      <c r="E396" t="s">
        <v>8</v>
      </c>
      <c r="F396" t="s">
        <v>9</v>
      </c>
    </row>
    <row r="397" spans="1:6" x14ac:dyDescent="0.25">
      <c r="A397">
        <v>396</v>
      </c>
      <c r="B397" t="s">
        <v>220</v>
      </c>
      <c r="C397" t="s">
        <v>489</v>
      </c>
      <c r="D397">
        <v>81600</v>
      </c>
      <c r="E397" t="s">
        <v>38</v>
      </c>
      <c r="F397" t="s">
        <v>20</v>
      </c>
    </row>
    <row r="398" spans="1:6" x14ac:dyDescent="0.25">
      <c r="A398">
        <v>397</v>
      </c>
      <c r="B398" t="s">
        <v>315</v>
      </c>
      <c r="C398" t="s">
        <v>486</v>
      </c>
      <c r="D398">
        <v>83000</v>
      </c>
      <c r="E398" t="s">
        <v>8</v>
      </c>
      <c r="F398" t="s">
        <v>9</v>
      </c>
    </row>
    <row r="399" spans="1:6" x14ac:dyDescent="0.25">
      <c r="A399">
        <v>398</v>
      </c>
      <c r="B399" t="s">
        <v>361</v>
      </c>
      <c r="C399" t="s">
        <v>490</v>
      </c>
      <c r="D399">
        <v>83400</v>
      </c>
      <c r="E399" t="s">
        <v>38</v>
      </c>
      <c r="F399" t="s">
        <v>20</v>
      </c>
    </row>
    <row r="400" spans="1:6" x14ac:dyDescent="0.25">
      <c r="A400">
        <v>399</v>
      </c>
      <c r="B400" t="s">
        <v>151</v>
      </c>
      <c r="C400" t="s">
        <v>484</v>
      </c>
      <c r="D400">
        <v>83500</v>
      </c>
      <c r="E400" t="s">
        <v>8</v>
      </c>
      <c r="F400" t="s">
        <v>9</v>
      </c>
    </row>
    <row r="401" spans="1:6" x14ac:dyDescent="0.25">
      <c r="A401">
        <v>400</v>
      </c>
      <c r="B401" t="s">
        <v>96</v>
      </c>
      <c r="C401" t="s">
        <v>493</v>
      </c>
      <c r="D401">
        <v>84000</v>
      </c>
      <c r="E401" t="s">
        <v>23</v>
      </c>
      <c r="F401" t="s">
        <v>9</v>
      </c>
    </row>
    <row r="402" spans="1:6" x14ac:dyDescent="0.25">
      <c r="A402">
        <v>401</v>
      </c>
      <c r="B402" t="s">
        <v>82</v>
      </c>
      <c r="C402" t="s">
        <v>485</v>
      </c>
      <c r="D402">
        <v>84200</v>
      </c>
      <c r="E402" t="s">
        <v>8</v>
      </c>
      <c r="F402" t="s">
        <v>9</v>
      </c>
    </row>
    <row r="403" spans="1:6" x14ac:dyDescent="0.25">
      <c r="A403">
        <v>402</v>
      </c>
      <c r="B403" t="s">
        <v>220</v>
      </c>
      <c r="C403" t="s">
        <v>493</v>
      </c>
      <c r="D403">
        <v>84400</v>
      </c>
      <c r="E403" t="s">
        <v>8</v>
      </c>
      <c r="F403" t="s">
        <v>9</v>
      </c>
    </row>
    <row r="404" spans="1:6" x14ac:dyDescent="0.25">
      <c r="A404">
        <v>403</v>
      </c>
      <c r="B404" t="s">
        <v>391</v>
      </c>
      <c r="C404" t="s">
        <v>484</v>
      </c>
      <c r="D404">
        <v>84800</v>
      </c>
      <c r="E404" t="s">
        <v>8</v>
      </c>
      <c r="F404" t="s">
        <v>9</v>
      </c>
    </row>
    <row r="405" spans="1:6" x14ac:dyDescent="0.25">
      <c r="A405">
        <v>404</v>
      </c>
      <c r="B405" t="s">
        <v>193</v>
      </c>
      <c r="C405" t="s">
        <v>488</v>
      </c>
      <c r="D405">
        <v>85000</v>
      </c>
      <c r="E405" t="s">
        <v>8</v>
      </c>
      <c r="F405" t="s">
        <v>9</v>
      </c>
    </row>
    <row r="406" spans="1:6" x14ac:dyDescent="0.25">
      <c r="A406">
        <v>405</v>
      </c>
      <c r="B406" t="s">
        <v>40</v>
      </c>
      <c r="C406" t="s">
        <v>494</v>
      </c>
      <c r="D406">
        <v>85100</v>
      </c>
      <c r="E406" t="s">
        <v>8</v>
      </c>
      <c r="F406" t="s">
        <v>9</v>
      </c>
    </row>
    <row r="407" spans="1:6" x14ac:dyDescent="0.25">
      <c r="A407">
        <v>406</v>
      </c>
      <c r="B407" t="s">
        <v>389</v>
      </c>
      <c r="C407" t="s">
        <v>488</v>
      </c>
      <c r="D407">
        <v>85300</v>
      </c>
      <c r="E407" t="s">
        <v>23</v>
      </c>
      <c r="F407" t="s">
        <v>9</v>
      </c>
    </row>
    <row r="408" spans="1:6" x14ac:dyDescent="0.25">
      <c r="A408">
        <v>407</v>
      </c>
      <c r="B408" t="s">
        <v>89</v>
      </c>
      <c r="C408" t="s">
        <v>489</v>
      </c>
      <c r="D408">
        <v>85500</v>
      </c>
      <c r="E408" t="s">
        <v>8</v>
      </c>
      <c r="F408" t="s">
        <v>9</v>
      </c>
    </row>
    <row r="409" spans="1:6" x14ac:dyDescent="0.25">
      <c r="A409">
        <v>408</v>
      </c>
      <c r="B409" t="s">
        <v>310</v>
      </c>
      <c r="C409" t="s">
        <v>493</v>
      </c>
      <c r="D409">
        <v>86400</v>
      </c>
      <c r="E409" t="s">
        <v>8</v>
      </c>
      <c r="F409" t="s">
        <v>20</v>
      </c>
    </row>
    <row r="410" spans="1:6" x14ac:dyDescent="0.25">
      <c r="A410">
        <v>409</v>
      </c>
      <c r="B410" t="s">
        <v>334</v>
      </c>
      <c r="C410" t="s">
        <v>483</v>
      </c>
      <c r="D410">
        <v>86900</v>
      </c>
      <c r="E410" t="s">
        <v>8</v>
      </c>
      <c r="F410" t="s">
        <v>9</v>
      </c>
    </row>
    <row r="411" spans="1:6" x14ac:dyDescent="0.25">
      <c r="A411">
        <v>410</v>
      </c>
      <c r="B411" t="s">
        <v>155</v>
      </c>
      <c r="C411" t="s">
        <v>490</v>
      </c>
      <c r="D411">
        <v>87100</v>
      </c>
      <c r="E411" t="s">
        <v>8</v>
      </c>
      <c r="F411" t="s">
        <v>9</v>
      </c>
    </row>
    <row r="412" spans="1:6" x14ac:dyDescent="0.25">
      <c r="A412">
        <v>411</v>
      </c>
      <c r="B412" t="s">
        <v>216</v>
      </c>
      <c r="C412" t="s">
        <v>492</v>
      </c>
      <c r="D412">
        <v>87900</v>
      </c>
      <c r="E412" t="s">
        <v>8</v>
      </c>
      <c r="F412" t="s">
        <v>9</v>
      </c>
    </row>
    <row r="413" spans="1:6" x14ac:dyDescent="0.25">
      <c r="A413">
        <v>412</v>
      </c>
      <c r="B413" t="s">
        <v>229</v>
      </c>
      <c r="C413" t="s">
        <v>486</v>
      </c>
      <c r="D413">
        <v>88100</v>
      </c>
      <c r="E413" t="s">
        <v>8</v>
      </c>
      <c r="F413" t="s">
        <v>9</v>
      </c>
    </row>
    <row r="414" spans="1:6" x14ac:dyDescent="0.25">
      <c r="A414">
        <v>413</v>
      </c>
      <c r="B414" t="s">
        <v>91</v>
      </c>
      <c r="C414" t="s">
        <v>493</v>
      </c>
      <c r="D414">
        <v>88800</v>
      </c>
      <c r="E414" t="s">
        <v>23</v>
      </c>
      <c r="F414" t="s">
        <v>9</v>
      </c>
    </row>
    <row r="415" spans="1:6" x14ac:dyDescent="0.25">
      <c r="A415">
        <v>414</v>
      </c>
      <c r="B415" t="s">
        <v>319</v>
      </c>
      <c r="C415" t="s">
        <v>490</v>
      </c>
      <c r="D415">
        <v>88900</v>
      </c>
      <c r="E415" t="s">
        <v>8</v>
      </c>
      <c r="F415" t="s">
        <v>9</v>
      </c>
    </row>
    <row r="416" spans="1:6" x14ac:dyDescent="0.25">
      <c r="A416">
        <v>415</v>
      </c>
      <c r="B416" t="s">
        <v>274</v>
      </c>
      <c r="C416" t="s">
        <v>487</v>
      </c>
      <c r="D416">
        <v>90200</v>
      </c>
      <c r="E416" t="s">
        <v>8</v>
      </c>
      <c r="F416" t="s">
        <v>9</v>
      </c>
    </row>
    <row r="417" spans="1:6" x14ac:dyDescent="0.25">
      <c r="A417">
        <v>416</v>
      </c>
      <c r="B417" t="s">
        <v>336</v>
      </c>
      <c r="C417" t="s">
        <v>486</v>
      </c>
      <c r="D417">
        <v>90600</v>
      </c>
      <c r="E417" t="s">
        <v>8</v>
      </c>
      <c r="F417" t="s">
        <v>9</v>
      </c>
    </row>
    <row r="418" spans="1:6" x14ac:dyDescent="0.25">
      <c r="A418">
        <v>417</v>
      </c>
      <c r="B418" t="s">
        <v>234</v>
      </c>
      <c r="C418" t="s">
        <v>484</v>
      </c>
      <c r="D418">
        <v>90600</v>
      </c>
      <c r="E418" t="s">
        <v>23</v>
      </c>
      <c r="F418" t="s">
        <v>9</v>
      </c>
    </row>
    <row r="419" spans="1:6" x14ac:dyDescent="0.25">
      <c r="A419">
        <v>418</v>
      </c>
      <c r="B419" t="s">
        <v>211</v>
      </c>
      <c r="C419" t="s">
        <v>487</v>
      </c>
      <c r="D419">
        <v>90900</v>
      </c>
      <c r="E419" t="s">
        <v>23</v>
      </c>
      <c r="F419" t="s">
        <v>9</v>
      </c>
    </row>
    <row r="420" spans="1:6" x14ac:dyDescent="0.25">
      <c r="A420">
        <v>419</v>
      </c>
      <c r="B420" t="s">
        <v>374</v>
      </c>
      <c r="C420" t="s">
        <v>492</v>
      </c>
      <c r="D420">
        <v>92000</v>
      </c>
      <c r="E420" t="s">
        <v>23</v>
      </c>
      <c r="F420" t="s">
        <v>9</v>
      </c>
    </row>
    <row r="421" spans="1:6" x14ac:dyDescent="0.25">
      <c r="A421">
        <v>420</v>
      </c>
      <c r="B421" t="s">
        <v>354</v>
      </c>
      <c r="C421" t="s">
        <v>485</v>
      </c>
      <c r="D421">
        <v>93200</v>
      </c>
      <c r="E421" t="s">
        <v>8</v>
      </c>
      <c r="F421" t="s">
        <v>9</v>
      </c>
    </row>
    <row r="422" spans="1:6" x14ac:dyDescent="0.25">
      <c r="A422">
        <v>421</v>
      </c>
      <c r="B422" t="s">
        <v>388</v>
      </c>
      <c r="C422" t="s">
        <v>490</v>
      </c>
      <c r="D422">
        <v>93200</v>
      </c>
      <c r="E422" t="s">
        <v>8</v>
      </c>
      <c r="F422" t="s">
        <v>9</v>
      </c>
    </row>
    <row r="423" spans="1:6" x14ac:dyDescent="0.25">
      <c r="A423">
        <v>422</v>
      </c>
      <c r="B423" t="s">
        <v>103</v>
      </c>
      <c r="C423" t="s">
        <v>484</v>
      </c>
      <c r="D423">
        <v>93300</v>
      </c>
      <c r="E423" t="s">
        <v>8</v>
      </c>
      <c r="F423" t="s">
        <v>9</v>
      </c>
    </row>
    <row r="424" spans="1:6" x14ac:dyDescent="0.25">
      <c r="A424">
        <v>423</v>
      </c>
      <c r="B424" t="s">
        <v>208</v>
      </c>
      <c r="C424" t="s">
        <v>492</v>
      </c>
      <c r="D424">
        <v>95000</v>
      </c>
      <c r="E424" t="s">
        <v>8</v>
      </c>
      <c r="F424" t="s">
        <v>9</v>
      </c>
    </row>
    <row r="425" spans="1:6" x14ac:dyDescent="0.25">
      <c r="A425">
        <v>424</v>
      </c>
      <c r="B425" t="s">
        <v>99</v>
      </c>
      <c r="C425" t="s">
        <v>491</v>
      </c>
      <c r="D425">
        <v>96100</v>
      </c>
      <c r="E425" t="s">
        <v>8</v>
      </c>
      <c r="F425" t="s">
        <v>9</v>
      </c>
    </row>
    <row r="426" spans="1:6" x14ac:dyDescent="0.25">
      <c r="A426">
        <v>425</v>
      </c>
      <c r="B426" t="s">
        <v>354</v>
      </c>
      <c r="C426" t="s">
        <v>488</v>
      </c>
      <c r="D426">
        <v>96800</v>
      </c>
      <c r="E426" t="s">
        <v>8</v>
      </c>
      <c r="F426" t="s">
        <v>9</v>
      </c>
    </row>
    <row r="427" spans="1:6" x14ac:dyDescent="0.25">
      <c r="A427">
        <v>426</v>
      </c>
      <c r="B427" t="s">
        <v>177</v>
      </c>
      <c r="C427" t="s">
        <v>493</v>
      </c>
      <c r="D427">
        <v>97300</v>
      </c>
      <c r="E427" t="s">
        <v>23</v>
      </c>
      <c r="F427" t="s">
        <v>9</v>
      </c>
    </row>
    <row r="428" spans="1:6" x14ac:dyDescent="0.25">
      <c r="A428">
        <v>427</v>
      </c>
      <c r="B428" t="s">
        <v>418</v>
      </c>
      <c r="C428" t="s">
        <v>487</v>
      </c>
      <c r="D428">
        <v>97500</v>
      </c>
      <c r="E428" t="s">
        <v>8</v>
      </c>
      <c r="F428" t="s">
        <v>9</v>
      </c>
    </row>
    <row r="429" spans="1:6" x14ac:dyDescent="0.25">
      <c r="A429">
        <v>428</v>
      </c>
      <c r="B429" t="s">
        <v>247</v>
      </c>
      <c r="C429" t="s">
        <v>484</v>
      </c>
      <c r="D429">
        <v>98200</v>
      </c>
      <c r="E429" t="s">
        <v>8</v>
      </c>
      <c r="F429" t="s">
        <v>9</v>
      </c>
    </row>
    <row r="430" spans="1:6" x14ac:dyDescent="0.25">
      <c r="A430">
        <v>429</v>
      </c>
      <c r="B430" t="s">
        <v>135</v>
      </c>
      <c r="C430" t="s">
        <v>494</v>
      </c>
      <c r="D430">
        <v>98500</v>
      </c>
      <c r="E430" t="s">
        <v>8</v>
      </c>
      <c r="F430" t="s">
        <v>9</v>
      </c>
    </row>
    <row r="431" spans="1:6" x14ac:dyDescent="0.25">
      <c r="A431">
        <v>430</v>
      </c>
      <c r="B431" t="s">
        <v>249</v>
      </c>
      <c r="C431" t="s">
        <v>492</v>
      </c>
      <c r="D431">
        <v>98700</v>
      </c>
      <c r="E431" t="s">
        <v>8</v>
      </c>
      <c r="F431" t="s">
        <v>9</v>
      </c>
    </row>
    <row r="432" spans="1:6" x14ac:dyDescent="0.25">
      <c r="A432">
        <v>431</v>
      </c>
      <c r="B432" t="s">
        <v>103</v>
      </c>
      <c r="C432" t="s">
        <v>488</v>
      </c>
      <c r="D432">
        <v>100600</v>
      </c>
      <c r="E432" t="s">
        <v>8</v>
      </c>
      <c r="F432" t="s">
        <v>9</v>
      </c>
    </row>
    <row r="433" spans="1:6" x14ac:dyDescent="0.25">
      <c r="A433">
        <v>432</v>
      </c>
      <c r="B433" t="s">
        <v>207</v>
      </c>
      <c r="C433" t="s">
        <v>492</v>
      </c>
      <c r="D433">
        <v>100800</v>
      </c>
      <c r="E433" t="s">
        <v>8</v>
      </c>
      <c r="F433" t="s">
        <v>9</v>
      </c>
    </row>
    <row r="434" spans="1:6" x14ac:dyDescent="0.25">
      <c r="A434">
        <v>433</v>
      </c>
      <c r="B434" t="s">
        <v>85</v>
      </c>
      <c r="C434" t="s">
        <v>484</v>
      </c>
      <c r="D434">
        <v>102400</v>
      </c>
      <c r="E434" t="s">
        <v>8</v>
      </c>
      <c r="F434" t="s">
        <v>9</v>
      </c>
    </row>
    <row r="435" spans="1:6" x14ac:dyDescent="0.25">
      <c r="A435">
        <v>434</v>
      </c>
      <c r="B435" t="s">
        <v>268</v>
      </c>
      <c r="C435" t="s">
        <v>491</v>
      </c>
      <c r="D435">
        <v>105200</v>
      </c>
      <c r="E435" t="s">
        <v>8</v>
      </c>
      <c r="F435" t="s">
        <v>9</v>
      </c>
    </row>
    <row r="436" spans="1:6" x14ac:dyDescent="0.25">
      <c r="A436">
        <v>435</v>
      </c>
      <c r="B436" t="s">
        <v>224</v>
      </c>
      <c r="C436" t="s">
        <v>494</v>
      </c>
      <c r="D436">
        <v>106200</v>
      </c>
      <c r="E436" t="s">
        <v>8</v>
      </c>
      <c r="F436" t="s">
        <v>9</v>
      </c>
    </row>
    <row r="437" spans="1:6" x14ac:dyDescent="0.25">
      <c r="A437">
        <v>436</v>
      </c>
      <c r="B437" t="s">
        <v>101</v>
      </c>
      <c r="C437" t="s">
        <v>485</v>
      </c>
      <c r="D437">
        <v>107200</v>
      </c>
      <c r="E437" t="s">
        <v>8</v>
      </c>
      <c r="F437" t="s">
        <v>9</v>
      </c>
    </row>
    <row r="438" spans="1:6" x14ac:dyDescent="0.25">
      <c r="A438">
        <v>437</v>
      </c>
      <c r="B438" t="s">
        <v>99</v>
      </c>
      <c r="C438" t="s">
        <v>492</v>
      </c>
      <c r="D438">
        <v>109600</v>
      </c>
      <c r="E438" t="s">
        <v>38</v>
      </c>
      <c r="F438" t="s">
        <v>20</v>
      </c>
    </row>
    <row r="439" spans="1:6" x14ac:dyDescent="0.25">
      <c r="A439">
        <v>438</v>
      </c>
      <c r="B439" t="s">
        <v>181</v>
      </c>
      <c r="C439" t="s">
        <v>490</v>
      </c>
      <c r="D439">
        <v>110100</v>
      </c>
      <c r="E439" t="s">
        <v>38</v>
      </c>
      <c r="F439" t="s">
        <v>20</v>
      </c>
    </row>
    <row r="440" spans="1:6" x14ac:dyDescent="0.25">
      <c r="A440">
        <v>439</v>
      </c>
      <c r="B440" t="s">
        <v>64</v>
      </c>
      <c r="C440" t="s">
        <v>491</v>
      </c>
      <c r="D440">
        <v>110300</v>
      </c>
      <c r="E440" t="s">
        <v>23</v>
      </c>
      <c r="F440" t="s">
        <v>9</v>
      </c>
    </row>
    <row r="441" spans="1:6" x14ac:dyDescent="0.25">
      <c r="A441">
        <v>440</v>
      </c>
      <c r="B441" t="s">
        <v>190</v>
      </c>
      <c r="C441" t="s">
        <v>485</v>
      </c>
      <c r="D441">
        <v>110500</v>
      </c>
      <c r="E441" t="s">
        <v>8</v>
      </c>
      <c r="F441" t="s">
        <v>9</v>
      </c>
    </row>
    <row r="442" spans="1:6" x14ac:dyDescent="0.25">
      <c r="A442">
        <v>441</v>
      </c>
      <c r="B442" t="s">
        <v>47</v>
      </c>
      <c r="C442" t="s">
        <v>489</v>
      </c>
      <c r="D442">
        <v>110900</v>
      </c>
      <c r="E442" t="s">
        <v>38</v>
      </c>
      <c r="F442" t="s">
        <v>20</v>
      </c>
    </row>
    <row r="443" spans="1:6" x14ac:dyDescent="0.25">
      <c r="A443">
        <v>442</v>
      </c>
      <c r="B443" t="s">
        <v>342</v>
      </c>
      <c r="C443" t="s">
        <v>487</v>
      </c>
      <c r="D443">
        <v>116100</v>
      </c>
      <c r="E443" t="s">
        <v>8</v>
      </c>
      <c r="F443" t="s">
        <v>9</v>
      </c>
    </row>
    <row r="444" spans="1:6" x14ac:dyDescent="0.25">
      <c r="A444">
        <v>443</v>
      </c>
      <c r="B444" t="s">
        <v>200</v>
      </c>
      <c r="C444" t="s">
        <v>494</v>
      </c>
      <c r="D444">
        <v>118900</v>
      </c>
      <c r="E444" t="s">
        <v>8</v>
      </c>
      <c r="F444" t="s">
        <v>9</v>
      </c>
    </row>
    <row r="445" spans="1:6" x14ac:dyDescent="0.25">
      <c r="A445">
        <v>444</v>
      </c>
      <c r="B445" t="s">
        <v>373</v>
      </c>
      <c r="C445" t="s">
        <v>490</v>
      </c>
      <c r="D445">
        <v>120500</v>
      </c>
      <c r="E445" t="s">
        <v>8</v>
      </c>
      <c r="F445" t="s">
        <v>20</v>
      </c>
    </row>
    <row r="446" spans="1:6" x14ac:dyDescent="0.25">
      <c r="A446">
        <v>445</v>
      </c>
      <c r="B446" t="s">
        <v>367</v>
      </c>
      <c r="C446" t="s">
        <v>488</v>
      </c>
      <c r="D446">
        <v>121300</v>
      </c>
      <c r="E446" t="s">
        <v>8</v>
      </c>
      <c r="F446" t="s">
        <v>20</v>
      </c>
    </row>
    <row r="447" spans="1:6" x14ac:dyDescent="0.25">
      <c r="A447">
        <v>446</v>
      </c>
      <c r="B447" t="s">
        <v>421</v>
      </c>
      <c r="C447" t="s">
        <v>491</v>
      </c>
      <c r="D447">
        <v>125800</v>
      </c>
      <c r="E447" t="s">
        <v>23</v>
      </c>
      <c r="F447" t="s">
        <v>9</v>
      </c>
    </row>
    <row r="448" spans="1:6" x14ac:dyDescent="0.25">
      <c r="A448">
        <v>447</v>
      </c>
      <c r="B448" t="s">
        <v>223</v>
      </c>
      <c r="C448" t="s">
        <v>485</v>
      </c>
      <c r="D448">
        <v>125900</v>
      </c>
      <c r="E448" t="s">
        <v>8</v>
      </c>
      <c r="F448" t="s">
        <v>9</v>
      </c>
    </row>
    <row r="449" spans="1:6" x14ac:dyDescent="0.25">
      <c r="A449">
        <v>448</v>
      </c>
      <c r="B449" t="s">
        <v>359</v>
      </c>
      <c r="C449" t="s">
        <v>485</v>
      </c>
      <c r="D449">
        <v>126200</v>
      </c>
      <c r="E449" t="s">
        <v>8</v>
      </c>
      <c r="F449" t="s">
        <v>9</v>
      </c>
    </row>
    <row r="450" spans="1:6" x14ac:dyDescent="0.25">
      <c r="A450">
        <v>449</v>
      </c>
      <c r="B450" t="s">
        <v>252</v>
      </c>
      <c r="C450" t="s">
        <v>494</v>
      </c>
      <c r="D450">
        <v>128100</v>
      </c>
      <c r="E450" t="s">
        <v>8</v>
      </c>
      <c r="F450" t="s">
        <v>9</v>
      </c>
    </row>
    <row r="451" spans="1:6" x14ac:dyDescent="0.25">
      <c r="A451">
        <v>450</v>
      </c>
      <c r="B451" t="s">
        <v>328</v>
      </c>
      <c r="C451" t="s">
        <v>490</v>
      </c>
      <c r="D451">
        <v>130000</v>
      </c>
      <c r="E451" t="s">
        <v>8</v>
      </c>
      <c r="F451" t="s">
        <v>9</v>
      </c>
    </row>
    <row r="452" spans="1:6" x14ac:dyDescent="0.25">
      <c r="A452">
        <v>451</v>
      </c>
      <c r="B452" t="s">
        <v>369</v>
      </c>
      <c r="C452" t="s">
        <v>494</v>
      </c>
      <c r="D452">
        <v>130800</v>
      </c>
      <c r="E452" t="s">
        <v>38</v>
      </c>
      <c r="F452" t="s">
        <v>9</v>
      </c>
    </row>
    <row r="453" spans="1:6" x14ac:dyDescent="0.25">
      <c r="A453">
        <v>452</v>
      </c>
      <c r="B453" t="s">
        <v>10</v>
      </c>
      <c r="C453" t="s">
        <v>485</v>
      </c>
      <c r="D453">
        <v>131500</v>
      </c>
      <c r="E453" t="s">
        <v>8</v>
      </c>
      <c r="F453" t="s">
        <v>9</v>
      </c>
    </row>
    <row r="454" spans="1:6" x14ac:dyDescent="0.25">
      <c r="A454">
        <v>453</v>
      </c>
      <c r="B454" t="s">
        <v>21</v>
      </c>
      <c r="C454" t="s">
        <v>490</v>
      </c>
      <c r="D454">
        <v>133100</v>
      </c>
      <c r="E454" t="s">
        <v>8</v>
      </c>
      <c r="F454" t="s">
        <v>9</v>
      </c>
    </row>
    <row r="455" spans="1:6" x14ac:dyDescent="0.25">
      <c r="A455">
        <v>454</v>
      </c>
      <c r="B455" t="s">
        <v>80</v>
      </c>
      <c r="C455" t="s">
        <v>494</v>
      </c>
      <c r="D455">
        <v>133400</v>
      </c>
      <c r="E455" t="s">
        <v>8</v>
      </c>
      <c r="F455" t="s">
        <v>9</v>
      </c>
    </row>
    <row r="456" spans="1:6" x14ac:dyDescent="0.25">
      <c r="A456">
        <v>455</v>
      </c>
      <c r="B456" t="s">
        <v>288</v>
      </c>
      <c r="C456" t="s">
        <v>488</v>
      </c>
      <c r="D456">
        <v>133800</v>
      </c>
      <c r="E456" t="s">
        <v>8</v>
      </c>
      <c r="F456" t="s">
        <v>9</v>
      </c>
    </row>
    <row r="457" spans="1:6" x14ac:dyDescent="0.25">
      <c r="A457">
        <v>456</v>
      </c>
      <c r="B457" t="s">
        <v>365</v>
      </c>
      <c r="C457" t="s">
        <v>485</v>
      </c>
      <c r="D457">
        <v>136900</v>
      </c>
      <c r="E457" t="s">
        <v>8</v>
      </c>
      <c r="F457" t="s">
        <v>20</v>
      </c>
    </row>
    <row r="458" spans="1:6" x14ac:dyDescent="0.25">
      <c r="A458">
        <v>457</v>
      </c>
      <c r="B458" t="s">
        <v>362</v>
      </c>
      <c r="C458" t="s">
        <v>491</v>
      </c>
      <c r="D458">
        <v>138900</v>
      </c>
      <c r="E458" t="s">
        <v>38</v>
      </c>
      <c r="F458" t="s">
        <v>9</v>
      </c>
    </row>
    <row r="459" spans="1:6" x14ac:dyDescent="0.25">
      <c r="A459">
        <v>458</v>
      </c>
      <c r="B459" t="s">
        <v>196</v>
      </c>
      <c r="C459" t="s">
        <v>486</v>
      </c>
      <c r="D459">
        <v>140800</v>
      </c>
      <c r="E459" t="s">
        <v>8</v>
      </c>
      <c r="F459" t="s">
        <v>9</v>
      </c>
    </row>
    <row r="460" spans="1:6" x14ac:dyDescent="0.25">
      <c r="A460">
        <v>459</v>
      </c>
      <c r="B460" t="s">
        <v>215</v>
      </c>
      <c r="C460" t="s">
        <v>494</v>
      </c>
      <c r="D460">
        <v>143500</v>
      </c>
      <c r="E460" t="s">
        <v>8</v>
      </c>
      <c r="F460" t="s">
        <v>9</v>
      </c>
    </row>
    <row r="461" spans="1:6" x14ac:dyDescent="0.25">
      <c r="A461">
        <v>460</v>
      </c>
      <c r="B461" t="s">
        <v>247</v>
      </c>
      <c r="C461" t="s">
        <v>487</v>
      </c>
      <c r="D461">
        <v>144100</v>
      </c>
      <c r="E461" t="s">
        <v>8</v>
      </c>
      <c r="F461" t="s">
        <v>9</v>
      </c>
    </row>
    <row r="462" spans="1:6" x14ac:dyDescent="0.25">
      <c r="A462">
        <v>461</v>
      </c>
      <c r="B462" t="s">
        <v>232</v>
      </c>
      <c r="C462" t="s">
        <v>492</v>
      </c>
      <c r="D462">
        <v>145800</v>
      </c>
      <c r="E462" t="s">
        <v>8</v>
      </c>
      <c r="F462" t="s">
        <v>9</v>
      </c>
    </row>
    <row r="463" spans="1:6" x14ac:dyDescent="0.25">
      <c r="A463">
        <v>462</v>
      </c>
      <c r="B463" t="s">
        <v>324</v>
      </c>
      <c r="C463" t="s">
        <v>489</v>
      </c>
      <c r="D463">
        <v>146300</v>
      </c>
      <c r="E463" t="s">
        <v>23</v>
      </c>
      <c r="F463" t="s">
        <v>9</v>
      </c>
    </row>
    <row r="464" spans="1:6" x14ac:dyDescent="0.25">
      <c r="A464">
        <v>463</v>
      </c>
      <c r="B464" t="s">
        <v>353</v>
      </c>
      <c r="C464" t="s">
        <v>483</v>
      </c>
      <c r="D464">
        <v>149500</v>
      </c>
      <c r="E464" t="s">
        <v>8</v>
      </c>
      <c r="F464" t="s">
        <v>9</v>
      </c>
    </row>
    <row r="465" spans="1:6" x14ac:dyDescent="0.25">
      <c r="A465">
        <v>464</v>
      </c>
      <c r="B465" t="s">
        <v>178</v>
      </c>
      <c r="C465" t="s">
        <v>483</v>
      </c>
      <c r="D465">
        <v>149800</v>
      </c>
      <c r="E465" t="s">
        <v>8</v>
      </c>
      <c r="F465" t="s">
        <v>20</v>
      </c>
    </row>
    <row r="466" spans="1:6" x14ac:dyDescent="0.25">
      <c r="A466">
        <v>465</v>
      </c>
      <c r="B466" t="s">
        <v>307</v>
      </c>
      <c r="C466" t="s">
        <v>486</v>
      </c>
      <c r="D466">
        <v>152400</v>
      </c>
      <c r="E466" t="s">
        <v>38</v>
      </c>
      <c r="F466" t="s">
        <v>20</v>
      </c>
    </row>
    <row r="467" spans="1:6" x14ac:dyDescent="0.25">
      <c r="A467">
        <v>466</v>
      </c>
      <c r="B467" t="s">
        <v>251</v>
      </c>
      <c r="C467" t="s">
        <v>492</v>
      </c>
      <c r="D467">
        <v>153300</v>
      </c>
      <c r="E467" t="s">
        <v>23</v>
      </c>
      <c r="F467" t="s">
        <v>20</v>
      </c>
    </row>
    <row r="468" spans="1:6" x14ac:dyDescent="0.25">
      <c r="A468">
        <v>467</v>
      </c>
      <c r="B468" t="s">
        <v>103</v>
      </c>
      <c r="C468" t="s">
        <v>485</v>
      </c>
      <c r="D468">
        <v>158600</v>
      </c>
      <c r="E468" t="s">
        <v>8</v>
      </c>
      <c r="F468" t="s">
        <v>9</v>
      </c>
    </row>
    <row r="469" spans="1:6" x14ac:dyDescent="0.25">
      <c r="A469">
        <v>468</v>
      </c>
      <c r="B469" t="s">
        <v>400</v>
      </c>
      <c r="C469" t="s">
        <v>490</v>
      </c>
      <c r="D469">
        <v>159000</v>
      </c>
      <c r="E469" t="s">
        <v>8</v>
      </c>
      <c r="F469" t="s">
        <v>9</v>
      </c>
    </row>
    <row r="470" spans="1:6" x14ac:dyDescent="0.25">
      <c r="A470">
        <v>469</v>
      </c>
      <c r="B470" t="s">
        <v>94</v>
      </c>
      <c r="C470" t="s">
        <v>487</v>
      </c>
      <c r="D470">
        <v>166000</v>
      </c>
      <c r="E470" t="s">
        <v>38</v>
      </c>
      <c r="F470" t="s">
        <v>9</v>
      </c>
    </row>
    <row r="471" spans="1:6" x14ac:dyDescent="0.25">
      <c r="A471">
        <v>470</v>
      </c>
      <c r="B471" t="s">
        <v>112</v>
      </c>
      <c r="C471" t="s">
        <v>484</v>
      </c>
      <c r="D471">
        <v>168100</v>
      </c>
      <c r="E471" t="s">
        <v>8</v>
      </c>
      <c r="F471" t="s">
        <v>20</v>
      </c>
    </row>
    <row r="472" spans="1:6" x14ac:dyDescent="0.25">
      <c r="A472">
        <v>471</v>
      </c>
      <c r="B472" t="s">
        <v>101</v>
      </c>
      <c r="C472" t="s">
        <v>487</v>
      </c>
      <c r="D472">
        <v>171900</v>
      </c>
      <c r="E472" t="s">
        <v>8</v>
      </c>
      <c r="F472" t="s">
        <v>9</v>
      </c>
    </row>
    <row r="473" spans="1:6" x14ac:dyDescent="0.25">
      <c r="A473">
        <v>472</v>
      </c>
      <c r="B473" t="s">
        <v>387</v>
      </c>
      <c r="C473" t="s">
        <v>486</v>
      </c>
      <c r="D473">
        <v>175300</v>
      </c>
      <c r="E473" t="s">
        <v>23</v>
      </c>
      <c r="F473" t="s">
        <v>9</v>
      </c>
    </row>
    <row r="474" spans="1:6" x14ac:dyDescent="0.25">
      <c r="A474">
        <v>473</v>
      </c>
      <c r="B474" t="s">
        <v>231</v>
      </c>
      <c r="C474" t="s">
        <v>483</v>
      </c>
      <c r="D474">
        <v>175500</v>
      </c>
      <c r="E474" t="s">
        <v>8</v>
      </c>
      <c r="F474" t="s">
        <v>9</v>
      </c>
    </row>
    <row r="475" spans="1:6" x14ac:dyDescent="0.25">
      <c r="A475">
        <v>474</v>
      </c>
      <c r="B475" t="s">
        <v>281</v>
      </c>
      <c r="C475" t="s">
        <v>489</v>
      </c>
      <c r="D475">
        <v>176000</v>
      </c>
      <c r="E475" t="s">
        <v>8</v>
      </c>
      <c r="F475" t="s">
        <v>9</v>
      </c>
    </row>
    <row r="476" spans="1:6" x14ac:dyDescent="0.25">
      <c r="A476">
        <v>475</v>
      </c>
      <c r="B476" t="s">
        <v>253</v>
      </c>
      <c r="C476" t="s">
        <v>492</v>
      </c>
      <c r="D476">
        <v>176600</v>
      </c>
      <c r="E476" t="s">
        <v>23</v>
      </c>
      <c r="F476" t="s">
        <v>9</v>
      </c>
    </row>
    <row r="477" spans="1:6" x14ac:dyDescent="0.25">
      <c r="A477">
        <v>476</v>
      </c>
      <c r="B477" t="s">
        <v>173</v>
      </c>
      <c r="C477" t="s">
        <v>491</v>
      </c>
      <c r="D477">
        <v>177500</v>
      </c>
      <c r="E477" t="s">
        <v>8</v>
      </c>
      <c r="F477" t="s">
        <v>9</v>
      </c>
    </row>
    <row r="478" spans="1:6" x14ac:dyDescent="0.25">
      <c r="A478">
        <v>477</v>
      </c>
      <c r="B478" t="s">
        <v>158</v>
      </c>
      <c r="C478" t="s">
        <v>484</v>
      </c>
      <c r="D478">
        <v>184400</v>
      </c>
      <c r="E478" t="s">
        <v>38</v>
      </c>
      <c r="F478" t="s">
        <v>20</v>
      </c>
    </row>
    <row r="479" spans="1:6" x14ac:dyDescent="0.25">
      <c r="A479">
        <v>478</v>
      </c>
      <c r="B479" t="s">
        <v>234</v>
      </c>
      <c r="C479" t="s">
        <v>493</v>
      </c>
      <c r="D479">
        <v>185700</v>
      </c>
      <c r="E479" t="s">
        <v>8</v>
      </c>
      <c r="F479" t="s">
        <v>9</v>
      </c>
    </row>
    <row r="480" spans="1:6" x14ac:dyDescent="0.25">
      <c r="A480">
        <v>479</v>
      </c>
      <c r="B480" t="s">
        <v>105</v>
      </c>
      <c r="C480" t="s">
        <v>494</v>
      </c>
      <c r="D480">
        <v>186800</v>
      </c>
      <c r="E480" t="s">
        <v>8</v>
      </c>
      <c r="F480" t="s">
        <v>9</v>
      </c>
    </row>
    <row r="481" spans="1:6" x14ac:dyDescent="0.25">
      <c r="A481">
        <v>480</v>
      </c>
      <c r="B481" t="s">
        <v>166</v>
      </c>
      <c r="C481" t="s">
        <v>483</v>
      </c>
      <c r="D481">
        <v>186900</v>
      </c>
      <c r="E481" t="s">
        <v>8</v>
      </c>
      <c r="F481" t="s">
        <v>9</v>
      </c>
    </row>
    <row r="482" spans="1:6" x14ac:dyDescent="0.25">
      <c r="A482">
        <v>481</v>
      </c>
      <c r="B482" t="s">
        <v>131</v>
      </c>
      <c r="C482" t="s">
        <v>490</v>
      </c>
      <c r="D482">
        <v>199800</v>
      </c>
      <c r="E482" t="s">
        <v>23</v>
      </c>
      <c r="F482" t="s">
        <v>9</v>
      </c>
    </row>
    <row r="483" spans="1:6" x14ac:dyDescent="0.25">
      <c r="A483">
        <v>482</v>
      </c>
      <c r="B483" t="s">
        <v>390</v>
      </c>
      <c r="C483" t="s">
        <v>483</v>
      </c>
      <c r="D483">
        <v>203000</v>
      </c>
      <c r="E483" t="s">
        <v>8</v>
      </c>
      <c r="F483" t="s">
        <v>20</v>
      </c>
    </row>
    <row r="484" spans="1:6" x14ac:dyDescent="0.25">
      <c r="A484">
        <v>483</v>
      </c>
      <c r="B484" t="s">
        <v>334</v>
      </c>
      <c r="C484" t="s">
        <v>483</v>
      </c>
      <c r="D484">
        <v>203800</v>
      </c>
      <c r="E484" t="s">
        <v>23</v>
      </c>
      <c r="F484" t="s">
        <v>9</v>
      </c>
    </row>
    <row r="485" spans="1:6" x14ac:dyDescent="0.25">
      <c r="A485">
        <v>484</v>
      </c>
      <c r="B485" t="s">
        <v>404</v>
      </c>
      <c r="C485" t="s">
        <v>485</v>
      </c>
      <c r="D485">
        <v>213300</v>
      </c>
      <c r="E485" t="s">
        <v>8</v>
      </c>
      <c r="F485" t="s">
        <v>9</v>
      </c>
    </row>
    <row r="486" spans="1:6" x14ac:dyDescent="0.25">
      <c r="A486">
        <v>485</v>
      </c>
      <c r="B486" t="s">
        <v>132</v>
      </c>
      <c r="C486" t="s">
        <v>489</v>
      </c>
      <c r="D486">
        <v>220200</v>
      </c>
      <c r="E486" t="s">
        <v>8</v>
      </c>
      <c r="F486" t="s">
        <v>9</v>
      </c>
    </row>
    <row r="487" spans="1:6" x14ac:dyDescent="0.25">
      <c r="A487">
        <v>486</v>
      </c>
      <c r="B487" t="s">
        <v>50</v>
      </c>
      <c r="C487" t="s">
        <v>489</v>
      </c>
      <c r="D487">
        <v>231600</v>
      </c>
      <c r="E487" t="s">
        <v>8</v>
      </c>
      <c r="F487" t="s">
        <v>9</v>
      </c>
    </row>
    <row r="488" spans="1:6" x14ac:dyDescent="0.25">
      <c r="A488">
        <v>487</v>
      </c>
      <c r="B488" t="s">
        <v>418</v>
      </c>
      <c r="C488" t="s">
        <v>493</v>
      </c>
      <c r="D488">
        <v>231700</v>
      </c>
      <c r="E488" t="s">
        <v>8</v>
      </c>
      <c r="F488" t="s">
        <v>9</v>
      </c>
    </row>
    <row r="489" spans="1:6" x14ac:dyDescent="0.25">
      <c r="A489">
        <v>488</v>
      </c>
      <c r="B489" t="s">
        <v>223</v>
      </c>
      <c r="C489" t="s">
        <v>483</v>
      </c>
      <c r="D489">
        <v>235300</v>
      </c>
      <c r="E489" t="s">
        <v>8</v>
      </c>
      <c r="F489" t="s">
        <v>9</v>
      </c>
    </row>
    <row r="490" spans="1:6" x14ac:dyDescent="0.25">
      <c r="A490">
        <v>489</v>
      </c>
      <c r="B490" t="s">
        <v>275</v>
      </c>
      <c r="C490" t="s">
        <v>484</v>
      </c>
      <c r="D490">
        <v>287000</v>
      </c>
      <c r="E490" t="s">
        <v>8</v>
      </c>
      <c r="F490" t="s">
        <v>9</v>
      </c>
    </row>
    <row r="491" spans="1:6" x14ac:dyDescent="0.25">
      <c r="A491">
        <v>490</v>
      </c>
      <c r="B491" t="s">
        <v>264</v>
      </c>
      <c r="C491" t="s">
        <v>492</v>
      </c>
      <c r="D491">
        <v>296600</v>
      </c>
      <c r="E491" t="s">
        <v>38</v>
      </c>
      <c r="F491" t="s">
        <v>9</v>
      </c>
    </row>
    <row r="492" spans="1:6" x14ac:dyDescent="0.25">
      <c r="A492">
        <v>491</v>
      </c>
      <c r="B492" t="s">
        <v>395</v>
      </c>
      <c r="C492" t="s">
        <v>483</v>
      </c>
      <c r="D492">
        <v>350300</v>
      </c>
      <c r="E492" t="s">
        <v>8</v>
      </c>
      <c r="F492" t="s">
        <v>9</v>
      </c>
    </row>
    <row r="493" spans="1:6" x14ac:dyDescent="0.25">
      <c r="A493">
        <v>492</v>
      </c>
      <c r="B493" t="s">
        <v>196</v>
      </c>
      <c r="C493" t="s">
        <v>487</v>
      </c>
      <c r="D493">
        <v>359100</v>
      </c>
      <c r="E493" t="s">
        <v>8</v>
      </c>
      <c r="F493" t="s">
        <v>9</v>
      </c>
    </row>
    <row r="494" spans="1:6" x14ac:dyDescent="0.25">
      <c r="A494">
        <v>493</v>
      </c>
      <c r="B494" t="s">
        <v>90</v>
      </c>
      <c r="C494" t="s">
        <v>490</v>
      </c>
      <c r="D494">
        <v>410000</v>
      </c>
      <c r="E494" t="s">
        <v>38</v>
      </c>
      <c r="F494" t="s">
        <v>9</v>
      </c>
    </row>
    <row r="495" spans="1:6" x14ac:dyDescent="0.25">
      <c r="A495">
        <v>494</v>
      </c>
      <c r="B495" t="s">
        <v>267</v>
      </c>
      <c r="C495" t="s">
        <v>487</v>
      </c>
      <c r="D495">
        <v>420000</v>
      </c>
      <c r="E495" t="s">
        <v>8</v>
      </c>
      <c r="F495" t="s">
        <v>9</v>
      </c>
    </row>
    <row r="496" spans="1:6" x14ac:dyDescent="0.25">
      <c r="A496">
        <v>495</v>
      </c>
      <c r="B496" t="s">
        <v>217</v>
      </c>
      <c r="C496" t="s">
        <v>494</v>
      </c>
      <c r="D496">
        <v>431000</v>
      </c>
      <c r="E496" t="s">
        <v>8</v>
      </c>
      <c r="F496" t="s">
        <v>9</v>
      </c>
    </row>
    <row r="497" spans="1:6" x14ac:dyDescent="0.25">
      <c r="A497">
        <v>496</v>
      </c>
      <c r="B497" t="s">
        <v>320</v>
      </c>
      <c r="C497" t="s">
        <v>492</v>
      </c>
      <c r="D497">
        <v>450000</v>
      </c>
      <c r="E497" t="s">
        <v>8</v>
      </c>
      <c r="F497" t="s">
        <v>9</v>
      </c>
    </row>
    <row r="498" spans="1:6" x14ac:dyDescent="0.25">
      <c r="A498">
        <v>497</v>
      </c>
      <c r="B498" t="s">
        <v>73</v>
      </c>
      <c r="C498" t="s">
        <v>488</v>
      </c>
      <c r="D498">
        <v>480000</v>
      </c>
      <c r="E498" t="s">
        <v>8</v>
      </c>
      <c r="F498" t="s">
        <v>9</v>
      </c>
    </row>
    <row r="499" spans="1:6" x14ac:dyDescent="0.25">
      <c r="A499">
        <v>498</v>
      </c>
      <c r="B499" t="s">
        <v>402</v>
      </c>
      <c r="C499" t="s">
        <v>493</v>
      </c>
      <c r="D499">
        <v>500000</v>
      </c>
      <c r="E499" t="s">
        <v>38</v>
      </c>
      <c r="F499" t="s">
        <v>20</v>
      </c>
    </row>
    <row r="500" spans="1:6" x14ac:dyDescent="0.25">
      <c r="A500">
        <v>499</v>
      </c>
      <c r="B500" t="s">
        <v>85</v>
      </c>
      <c r="C500" t="s">
        <v>491</v>
      </c>
      <c r="D500">
        <v>500000</v>
      </c>
      <c r="E500" t="s">
        <v>8</v>
      </c>
      <c r="F500" t="s">
        <v>9</v>
      </c>
    </row>
    <row r="501" spans="1:6" x14ac:dyDescent="0.25">
      <c r="A501">
        <v>500</v>
      </c>
      <c r="B501" t="s">
        <v>266</v>
      </c>
      <c r="C501" t="s">
        <v>488</v>
      </c>
      <c r="D501">
        <v>500000</v>
      </c>
      <c r="E501" t="s">
        <v>38</v>
      </c>
      <c r="F50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Вариант 1 (2)</vt:lpstr>
      <vt:lpstr>Лист1</vt:lpstr>
      <vt:lpstr>Вариант 1</vt:lpstr>
      <vt:lpstr>Вариант 2</vt:lpstr>
      <vt:lpstr>Вариант 3</vt:lpstr>
      <vt:lpstr>Вариант 4</vt:lpstr>
      <vt:lpstr>Вариант 5</vt:lpstr>
      <vt:lpstr>Вариант 6</vt:lpstr>
      <vt:lpstr>Вариант 7</vt:lpstr>
      <vt:lpstr>Вариант 8</vt:lpstr>
      <vt:lpstr>Вариант 9</vt:lpstr>
      <vt:lpstr>Вариант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2026-10-13T08:59:35Z</dcterms:created>
  <dcterms:modified xsi:type="dcterms:W3CDTF">2026-10-14T03:32:30Z</dcterms:modified>
</cp:coreProperties>
</file>